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MY Learnings\Data Analytics\1 Excel\DashBoards\HR Data Analysis\"/>
    </mc:Choice>
  </mc:AlternateContent>
  <xr:revisionPtr revIDLastSave="0" documentId="13_ncr:1_{BF8D44AC-6C2C-49B3-A632-C5D5817C4221}" xr6:coauthVersionLast="47" xr6:coauthVersionMax="47" xr10:uidLastSave="{00000000-0000-0000-0000-000000000000}"/>
  <bookViews>
    <workbookView xWindow="-120" yWindow="-120" windowWidth="20730" windowHeight="11760" xr2:uid="{16A92A5C-3AE0-4E47-987C-068A222FB729}"/>
  </bookViews>
  <sheets>
    <sheet name="DashBoard" sheetId="2" r:id="rId1"/>
    <sheet name="Pivots" sheetId="4" r:id="rId2"/>
    <sheet name="Data" sheetId="1" r:id="rId3"/>
  </sheets>
  <definedNames>
    <definedName name="_xlchart.v1.0" hidden="1">Pivots!$C$40:$C$48</definedName>
    <definedName name="_xlchart.v1.1" hidden="1">Pivots!$D$40:$D$48</definedName>
    <definedName name="_xlchart.v1.3" hidden="1">Pivots!$C$40:$C$48</definedName>
    <definedName name="_xlchart.v1.4" hidden="1">Pivots!$D$40:$D$48</definedName>
    <definedName name="_xlchart.v2.2" hidden="1">Pivots!$D$71:$D$73</definedName>
    <definedName name="_xlchart.v2.5" hidden="1">Pivots!$D$71:$D$73</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2" i="4" l="1"/>
  <c r="D73" i="4"/>
  <c r="C72" i="4"/>
  <c r="C73" i="4"/>
  <c r="D71" i="4"/>
  <c r="C71" i="4"/>
  <c r="D41" i="4"/>
  <c r="D42" i="4"/>
  <c r="D43" i="4"/>
  <c r="D44" i="4"/>
  <c r="D45" i="4"/>
  <c r="D46" i="4"/>
  <c r="D47" i="4"/>
  <c r="D48" i="4"/>
  <c r="C41" i="4"/>
  <c r="C42" i="4"/>
  <c r="C43" i="4"/>
  <c r="C44" i="4"/>
  <c r="C45" i="4"/>
  <c r="C46" i="4"/>
  <c r="C47" i="4"/>
  <c r="C48" i="4"/>
  <c r="D40" i="4"/>
  <c r="C40" i="4"/>
  <c r="B19" i="4"/>
  <c r="B18" i="4"/>
  <c r="C18" i="4" s="1"/>
  <c r="B5" i="4"/>
  <c r="A5" i="4"/>
  <c r="B10" i="4"/>
  <c r="C5" i="4"/>
  <c r="D5" i="4"/>
  <c r="C10" i="4" l="1"/>
  <c r="B11" i="4"/>
  <c r="C11" i="4" s="1"/>
  <c r="C19" i="4"/>
  <c r="E5" i="4"/>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<sst xmlns="http://schemas.openxmlformats.org/spreadsheetml/2006/main" count="19216" uniqueCount="1569">
  <si>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</si>
  <si>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</si>
  <si>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</si>
  <si>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</si>
  <si>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</si>
  <si>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</si>
  <si>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</si>
  <si>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</si>
  <si>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</si>
  <si>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</si>
  <si>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</si>
  <si>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</si>
  <si>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</si>
  <si>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</si>
  <si>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</si>
  <si>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</si>
  <si>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</si>
  <si>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</si>
  <si>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</si>
  <si>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</si>
  <si>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</si>
  <si>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</si>
  <si>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</si>
  <si>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</si>
  <si>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</si>
  <si>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</si>
  <si>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</si>
  <si>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</si>
  <si>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</si>
  <si>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</si>
  <si>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</si>
  <si>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</si>
  <si>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</si>
  <si>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</si>
  <si>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</si>
  <si>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</si>
  <si>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</si>
  <si>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</si>
  <si>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</si>
  <si>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</si>
  <si>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</si>
  <si>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</si>
  <si>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</si>
  <si>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</si>
  <si>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</si>
  <si>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</si>
  <si>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</si>
  <si>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</si>
  <si>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</si>
  <si>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</si>
  <si>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</si>
  <si>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</si>
  <si>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</si>
  <si>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</si>
  <si>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</si>
  <si>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</si>
  <si>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</si>
  <si>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</si>
  <si>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</si>
  <si>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</si>
  <si>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</si>
  <si>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</si>
  <si>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</si>
  <si>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</si>
  <si>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</si>
  <si>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</si>
  <si>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</si>
  <si>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</si>
  <si>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</si>
  <si>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</si>
  <si>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</si>
  <si>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</si>
  <si>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</si>
  <si>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</si>
  <si>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</si>
  <si>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</si>
  <si>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</si>
  <si>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</si>
  <si>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</si>
  <si>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</si>
  <si>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</si>
  <si>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</si>
  <si>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</si>
  <si>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</si>
  <si>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</si>
  <si>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</si>
  <si>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</si>
  <si>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</si>
  <si>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</si>
  <si>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</si>
  <si>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</si>
  <si>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</si>
  <si>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</si>
  <si>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</si>
  <si>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</si>
  <si>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</si>
  <si>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</si>
  <si>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</si>
  <si>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</si>
  <si>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</si>
  <si>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</si>
  <si>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</si>
  <si>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</si>
  <si>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</si>
  <si>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</si>
  <si>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</si>
  <si>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</si>
  <si>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</si>
  <si>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</si>
  <si>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</si>
  <si>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</si>
  <si>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</si>
  <si>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</si>
  <si>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</si>
  <si>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</si>
  <si>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</si>
  <si>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</si>
  <si>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</si>
  <si>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</si>
  <si>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</si>
  <si>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</si>
  <si>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</si>
  <si>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</si>
  <si>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</si>
  <si>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</si>
  <si>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</si>
  <si>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</si>
  <si>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</si>
  <si>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</si>
  <si>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</si>
  <si>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</si>
  <si>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</si>
  <si>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</si>
  <si>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</si>
  <si>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</si>
  <si>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</si>
  <si>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</si>
  <si>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</si>
  <si>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</si>
  <si>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</si>
  <si>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</si>
  <si>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</si>
  <si>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</si>
  <si>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</si>
  <si>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</si>
  <si>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</si>
  <si>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</si>
  <si>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</si>
  <si>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</si>
  <si>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</si>
  <si>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</si>
  <si>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</si>
  <si>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</si>
  <si>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</si>
  <si>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</si>
  <si>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</si>
  <si>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</si>
  <si>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</si>
  <si>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</si>
  <si>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</si>
  <si>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</si>
  <si>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</si>
  <si>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</si>
  <si>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</si>
  <si>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</si>
  <si>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</si>
  <si>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</si>
  <si>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</si>
  <si>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</si>
  <si>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</si>
  <si>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</si>
  <si>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</si>
  <si>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</si>
  <si>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</si>
  <si>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</si>
  <si>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</si>
  <si>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</si>
  <si>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</si>
  <si>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</si>
  <si>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</si>
  <si>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</si>
  <si>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</si>
  <si>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</si>
  <si>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</si>
  <si>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</si>
  <si>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</si>
  <si>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</si>
  <si>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</si>
  <si>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</si>
  <si>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</si>
  <si>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</si>
  <si>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</si>
  <si>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</si>
  <si>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</si>
  <si>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</si>
  <si>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</si>
  <si>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</si>
  <si>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</si>
  <si>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</si>
  <si>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</si>
  <si>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</si>
  <si>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</si>
  <si>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</si>
  <si>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</si>
  <si>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</si>
  <si>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</si>
  <si>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</si>
  <si>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</si>
  <si>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</si>
  <si>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</si>
  <si>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</si>
  <si>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</si>
  <si>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</si>
  <si>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</si>
  <si>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</si>
  <si>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</si>
  <si>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</si>
  <si>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</si>
  <si>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</si>
  <si>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</si>
  <si>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</si>
  <si>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</si>
  <si>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</si>
  <si>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</si>
  <si>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</si>
  <si>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</si>
  <si>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</si>
  <si>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</si>
  <si>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</si>
  <si>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</si>
  <si>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</si>
  <si>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</si>
  <si>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</si>
  <si>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</si>
  <si>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</si>
  <si>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</si>
  <si>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</si>
  <si>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</si>
  <si>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</si>
  <si>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</si>
  <si>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</si>
  <si>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</si>
  <si>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</si>
  <si>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</si>
  <si>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</si>
  <si>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</si>
  <si>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</si>
  <si>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</si>
  <si>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</si>
  <si>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</si>
  <si>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</si>
  <si>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</si>
  <si>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</si>
  <si>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</si>
  <si>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</si>
  <si>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</si>
  <si>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</si>
  <si>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</si>
  <si>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</si>
  <si>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</si>
  <si>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</si>
  <si>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</si>
  <si>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</si>
  <si>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</si>
  <si>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</si>
  <si>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</si>
  <si>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</si>
  <si>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</si>
  <si>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</si>
  <si>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</si>
  <si>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</si>
  <si>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</si>
  <si>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</si>
  <si>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</si>
  <si>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</si>
  <si>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</si>
  <si>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</si>
  <si>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</si>
  <si>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</si>
  <si>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</si>
  <si>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</si>
  <si>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</si>
  <si>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</si>
  <si>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</si>
  <si>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</si>
  <si>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</si>
  <si>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</si>
  <si>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</si>
  <si>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</si>
  <si>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</si>
  <si>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</si>
  <si>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</si>
  <si>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</si>
  <si>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</si>
  <si>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</si>
  <si>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</si>
  <si>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</si>
  <si>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</si>
  <si>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</si>
  <si>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</si>
  <si>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</si>
  <si>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</si>
  <si>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</si>
  <si>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</si>
  <si>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</si>
  <si>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</si>
  <si>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</si>
  <si>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</si>
  <si>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</si>
  <si>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</si>
  <si>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</si>
  <si>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</si>
  <si>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</si>
  <si>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</si>
  <si>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</si>
  <si>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</si>
  <si>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</si>
  <si>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</si>
  <si>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</si>
  <si>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</si>
  <si>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</si>
  <si>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</si>
  <si>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</si>
  <si>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</si>
  <si>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</si>
  <si>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</si>
  <si>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</si>
  <si>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</si>
  <si>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</si>
  <si>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</si>
  <si>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</si>
  <si>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</si>
  <si>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</si>
  <si>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</si>
  <si>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</si>
  <si>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</si>
  <si>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</si>
  <si>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</si>
  <si>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</si>
  <si>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</si>
  <si>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</si>
  <si>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</si>
  <si>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</si>
  <si>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</si>
  <si>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</si>
  <si>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</si>
  <si>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</si>
  <si>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</si>
  <si>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</si>
  <si>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</si>
  <si>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</si>
  <si>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</si>
  <si>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</si>
  <si>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</si>
  <si>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</si>
  <si>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</si>
  <si>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</si>
  <si>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</si>
  <si>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</si>
  <si>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</si>
  <si>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</si>
  <si>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</si>
  <si>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</si>
  <si>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</si>
  <si>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</si>
  <si>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</si>
  <si>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</si>
  <si>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</si>
  <si>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</si>
  <si>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</si>
  <si>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</si>
  <si>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</si>
  <si>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</si>
  <si>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</si>
  <si>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</si>
  <si>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</si>
  <si>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</si>
  <si>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</si>
  <si>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</si>
  <si>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</si>
  <si>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</si>
  <si>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</si>
  <si>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</si>
  <si>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</si>
  <si>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</si>
  <si>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</si>
  <si>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</si>
  <si>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</si>
  <si>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</si>
  <si>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</si>
  <si>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</si>
  <si>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</si>
  <si>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</si>
  <si>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</si>
  <si>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</si>
  <si>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</si>
  <si>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</si>
  <si>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</si>
  <si>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</si>
  <si>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</si>
  <si>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</si>
  <si>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</si>
  <si>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</si>
  <si>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</si>
  <si>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</si>
  <si>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</si>
  <si>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</si>
  <si>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</si>
  <si>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</si>
  <si>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</si>
  <si>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</si>
  <si>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</si>
  <si>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</si>
  <si>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</si>
  <si>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</si>
  <si>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</si>
  <si>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</si>
  <si>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</si>
  <si>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</si>
  <si>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</si>
  <si>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</si>
  <si>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</si>
  <si>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</si>
  <si>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</si>
  <si>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</si>
  <si>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</si>
  <si>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</si>
  <si>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</si>
  <si>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</si>
  <si>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</si>
  <si>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</si>
  <si>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</si>
  <si>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</si>
  <si>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</si>
  <si>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</si>
  <si>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</si>
  <si>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</si>
  <si>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</si>
  <si>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</si>
  <si>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</si>
  <si>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</si>
  <si>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</si>
  <si>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</si>
  <si>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</si>
  <si>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</si>
  <si>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</si>
  <si>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</si>
  <si>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</si>
  <si>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</si>
  <si>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</si>
  <si>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</si>
  <si>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</si>
  <si>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</si>
  <si>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</si>
  <si>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</si>
  <si>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</si>
  <si>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</si>
  <si>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</si>
  <si>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</si>
  <si>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</si>
  <si>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</si>
  <si>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</si>
  <si>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</si>
  <si>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</si>
  <si>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</si>
  <si>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</si>
  <si>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</si>
  <si>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</si>
  <si>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</si>
  <si>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</si>
  <si>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</si>
  <si>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</si>
  <si>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</si>
  <si>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</si>
  <si>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</si>
  <si>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</si>
  <si>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</si>
  <si>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</si>
  <si>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</si>
  <si>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</si>
  <si>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</si>
  <si>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</si>
  <si>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</si>
  <si>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</si>
  <si>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</si>
  <si>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</si>
  <si>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</si>
  <si>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</si>
  <si>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</si>
  <si>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</si>
  <si>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</si>
  <si>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</si>
  <si>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</si>
  <si>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</si>
  <si>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</si>
  <si>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</si>
  <si>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</si>
  <si>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</si>
  <si>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</si>
  <si>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</si>
  <si>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</si>
  <si>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</si>
  <si>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</si>
  <si>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</si>
  <si>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</si>
  <si>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</si>
  <si>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</si>
  <si>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</si>
  <si>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</si>
  <si>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</si>
  <si>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</si>
  <si>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</si>
  <si>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</si>
  <si>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</si>
  <si>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</si>
  <si>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</si>
  <si>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</si>
  <si>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</si>
  <si>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</si>
  <si>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</si>
  <si>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</si>
  <si>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</si>
  <si>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</si>
  <si>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</si>
  <si>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</si>
  <si>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</si>
  <si>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</si>
  <si>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</si>
  <si>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</si>
  <si>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</si>
  <si>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</si>
  <si>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</si>
  <si>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</si>
  <si>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</si>
  <si>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</si>
  <si>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</si>
  <si>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</si>
  <si>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</si>
  <si>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</si>
  <si>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</si>
  <si>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</si>
  <si>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</si>
  <si>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</si>
  <si>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</si>
  <si>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</si>
  <si>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</si>
  <si>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</si>
  <si>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</si>
  <si>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</si>
  <si>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</si>
  <si>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</si>
  <si>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</si>
  <si>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</si>
  <si>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</si>
  <si>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</si>
  <si>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</si>
  <si>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</si>
  <si>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</si>
  <si>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</si>
  <si>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</si>
  <si>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</si>
  <si>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</si>
  <si>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</si>
  <si>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</si>
  <si>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</si>
  <si>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</si>
  <si>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</si>
  <si>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</si>
  <si>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</si>
  <si>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</si>
  <si>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</si>
  <si>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</si>
  <si>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</si>
  <si>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</si>
  <si>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</si>
  <si>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</si>
  <si>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</si>
  <si>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</si>
  <si>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</si>
  <si>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</si>
  <si>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</si>
  <si>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</si>
  <si>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</si>
  <si>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</si>
  <si>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</si>
  <si>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</si>
  <si>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</si>
  <si>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</si>
  <si>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</si>
  <si>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</si>
  <si>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</si>
  <si>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</si>
  <si>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</si>
  <si>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</si>
  <si>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</si>
  <si>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</si>
  <si>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</si>
  <si>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</si>
  <si>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</si>
  <si>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</si>
  <si>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</si>
  <si>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</si>
  <si>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</si>
  <si>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</si>
  <si>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</si>
  <si>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</si>
  <si>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</si>
  <si>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</si>
  <si>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</si>
  <si>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</si>
  <si>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</si>
  <si>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</si>
  <si>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</si>
  <si>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</si>
  <si>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</si>
  <si>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</si>
  <si>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</si>
  <si>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</si>
  <si>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</si>
  <si>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</si>
  <si>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</si>
  <si>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</si>
  <si>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</si>
  <si>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</si>
  <si>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</si>
  <si>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</si>
  <si>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</si>
  <si>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</si>
  <si>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</si>
  <si>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</si>
  <si>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</si>
  <si>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</si>
  <si>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</si>
  <si>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</si>
  <si>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</si>
  <si>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</si>
  <si>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</si>
  <si>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</si>
  <si>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</si>
  <si>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</si>
  <si>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</si>
  <si>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</si>
  <si>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</si>
  <si>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</si>
  <si>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</si>
  <si>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</si>
  <si>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</si>
  <si>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</si>
  <si>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</si>
  <si>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</si>
  <si>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</si>
  <si>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</si>
  <si>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</si>
  <si>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</si>
  <si>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</si>
  <si>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</si>
  <si>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</si>
  <si>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</si>
  <si>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</si>
  <si>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</si>
  <si>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</si>
  <si>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</si>
  <si>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</si>
  <si>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</si>
  <si>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</si>
  <si>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</si>
  <si>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</si>
  <si>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</si>
  <si>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</si>
  <si>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</si>
  <si>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</si>
  <si>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</si>
  <si>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</si>
  <si>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</si>
  <si>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</si>
  <si>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</si>
  <si>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</si>
  <si>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</si>
  <si>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</si>
  <si>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</si>
  <si>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</si>
  <si>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</si>
  <si>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</si>
  <si>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</si>
  <si>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</si>
  <si>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</si>
  <si>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</si>
  <si>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</si>
  <si>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</si>
  <si>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</si>
  <si>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</si>
  <si>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</si>
  <si>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</si>
  <si>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</si>
  <si>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</si>
  <si>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</si>
  <si>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</si>
  <si>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</si>
  <si>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</si>
  <si>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</si>
  <si>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</si>
  <si>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</si>
  <si>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</si>
  <si>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</si>
  <si>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</si>
  <si>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</si>
  <si>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</si>
  <si>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</si>
  <si>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</si>
  <si>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</si>
  <si>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</si>
  <si>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</si>
  <si>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</si>
  <si>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</si>
  <si>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</si>
  <si>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</si>
  <si>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</si>
  <si>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</si>
  <si>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</si>
  <si>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</si>
  <si>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</si>
  <si>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</si>
  <si>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</si>
  <si>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</si>
  <si>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</si>
  <si>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</si>
  <si>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</si>
  <si>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</si>
  <si>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</si>
  <si>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</si>
  <si>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</si>
  <si>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</si>
  <si>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</si>
  <si>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</si>
  <si>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</si>
  <si>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</si>
  <si>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</si>
  <si>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</si>
  <si>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</si>
  <si>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</si>
  <si>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</si>
  <si>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</si>
  <si>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</si>
  <si>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</si>
  <si>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</si>
  <si>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</si>
  <si>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</si>
  <si>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</si>
  <si>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</si>
  <si>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</si>
  <si>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</si>
  <si>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</si>
  <si>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</si>
  <si>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</si>
  <si>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</si>
  <si>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</si>
  <si>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</si>
  <si>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</si>
  <si>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</si>
  <si>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</si>
  <si>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</si>
  <si>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</si>
  <si>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</si>
  <si>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</si>
  <si>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</si>
  <si>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</si>
  <si>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</si>
  <si>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</si>
  <si>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</si>
  <si>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</si>
  <si>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</si>
  <si>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</si>
  <si>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</si>
  <si>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</si>
  <si>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</si>
  <si>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</si>
  <si>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</si>
  <si>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</si>
  <si>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</si>
  <si>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</si>
  <si>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</si>
  <si>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</si>
  <si>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</si>
  <si>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</si>
  <si>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</si>
  <si>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</si>
  <si>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</si>
  <si>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</si>
  <si>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</si>
  <si>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</si>
  <si>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</si>
  <si>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</si>
  <si>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</si>
  <si>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</si>
  <si>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</si>
  <si>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</si>
  <si>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</si>
  <si>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</si>
  <si>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</si>
  <si>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</si>
  <si>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</si>
  <si>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</si>
  <si>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</si>
  <si>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</si>
  <si>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</si>
  <si>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</si>
  <si>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</si>
  <si>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</si>
  <si>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</si>
  <si>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</si>
  <si>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</si>
  <si>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</si>
  <si>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</si>
  <si>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</si>
  <si>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</si>
  <si>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</si>
  <si>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</si>
  <si>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</si>
  <si>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</si>
  <si>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</si>
  <si>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</si>
  <si>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</si>
  <si>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</si>
  <si>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</si>
  <si>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</si>
  <si>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</si>
  <si>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</si>
  <si>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</si>
  <si>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</si>
  <si>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</si>
  <si>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</si>
  <si>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</si>
  <si>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</si>
  <si>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</si>
  <si>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</si>
  <si>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</si>
  <si>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</si>
  <si>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</si>
  <si>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</si>
  <si>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</si>
  <si>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</si>
  <si>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</si>
  <si>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</si>
  <si>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</si>
  <si>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</si>
  <si>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</si>
  <si>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</si>
  <si>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</si>
  <si>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</si>
  <si>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</si>
  <si>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</si>
  <si>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</si>
  <si>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</si>
  <si>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</si>
  <si>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</si>
  <si>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</si>
  <si>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</si>
  <si>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</si>
  <si>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</si>
  <si>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</si>
  <si>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</si>
  <si>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</si>
  <si>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</si>
  <si>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</si>
  <si>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</si>
  <si>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</si>
  <si>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</si>
  <si>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</si>
  <si>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</si>
  <si>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</si>
  <si>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</si>
  <si>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</si>
  <si>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</si>
  <si>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</si>
  <si>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</si>
  <si>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</si>
  <si>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</si>
  <si>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</si>
  <si>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</si>
  <si>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</si>
  <si>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</si>
  <si>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</si>
  <si>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</si>
  <si>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</si>
  <si>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</si>
  <si>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</si>
  <si>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</si>
  <si>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</si>
  <si>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</si>
  <si>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</si>
  <si>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</si>
  <si>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</si>
  <si>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</si>
  <si>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</si>
  <si>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</si>
  <si>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</si>
  <si>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</si>
  <si>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</si>
  <si>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</si>
  <si>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</si>
  <si>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</si>
  <si>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</si>
  <si>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</si>
  <si>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</si>
  <si>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</si>
  <si>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</si>
  <si>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</si>
  <si>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</si>
  <si>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</si>
  <si>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</si>
  <si>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</si>
  <si>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</si>
  <si>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</si>
  <si>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</si>
  <si>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</si>
  <si>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</si>
  <si>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</si>
  <si>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</si>
  <si>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</si>
  <si>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</si>
  <si>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</si>
  <si>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</si>
  <si>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</si>
  <si>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</si>
  <si>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</si>
  <si>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</si>
  <si>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</si>
  <si>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</si>
  <si>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</si>
  <si>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</si>
  <si>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</si>
  <si>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</si>
  <si>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</si>
  <si>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</si>
  <si>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</si>
  <si>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</si>
  <si>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</si>
  <si>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</si>
  <si>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</si>
  <si>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</si>
  <si>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</si>
  <si>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</si>
  <si>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</si>
  <si>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</si>
  <si>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</si>
  <si>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</si>
  <si>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</si>
  <si>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</si>
  <si>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</si>
  <si>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</si>
  <si>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</si>
  <si>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</si>
  <si>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</si>
  <si>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</si>
  <si>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</si>
  <si>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</si>
  <si>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</si>
  <si>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</si>
  <si>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</si>
  <si>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</si>
  <si>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</si>
  <si>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</si>
  <si>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</si>
  <si>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</si>
  <si>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</si>
  <si>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</si>
  <si>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</si>
  <si>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</si>
  <si>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</si>
  <si>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</si>
  <si>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</si>
  <si>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</si>
  <si>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</si>
  <si>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</si>
  <si>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</si>
  <si>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</si>
  <si>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</si>
  <si>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</si>
  <si>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</si>
  <si>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</si>
  <si>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</si>
  <si>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</si>
  <si>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</si>
  <si>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</si>
  <si>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</si>
  <si>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</si>
  <si>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</si>
  <si>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</si>
  <si>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</si>
  <si>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</si>
  <si>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</si>
  <si>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</si>
  <si>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</si>
  <si>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</si>
  <si>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</si>
  <si>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</si>
  <si>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</si>
  <si>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</si>
  <si>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</si>
  <si>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</si>
  <si>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</si>
  <si>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</si>
  <si>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</si>
  <si>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</si>
  <si>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</si>
  <si>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</si>
  <si>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</si>
  <si>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</si>
  <si>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</si>
  <si>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</si>
  <si>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</si>
  <si>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</si>
  <si>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</si>
  <si>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</si>
  <si>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</si>
  <si>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</si>
  <si>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</si>
  <si>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</si>
  <si>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</si>
  <si>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</si>
  <si>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</si>
  <si>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</si>
  <si>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</si>
  <si>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</si>
  <si>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</si>
  <si>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</si>
  <si>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</si>
  <si>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</si>
  <si>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</si>
  <si>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</si>
  <si>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</si>
  <si>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</si>
  <si>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</si>
  <si>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</si>
  <si>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</si>
  <si>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</si>
  <si>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</si>
  <si>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</si>
  <si>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</si>
  <si>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</si>
  <si>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</si>
  <si>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</si>
  <si>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</si>
  <si>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</si>
  <si>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</si>
  <si>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</si>
  <si>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</si>
  <si>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</si>
  <si>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</si>
  <si>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</si>
  <si>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</si>
  <si>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</si>
  <si>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</si>
  <si>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</si>
  <si>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</si>
  <si>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</si>
  <si>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</si>
  <si>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</si>
  <si>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</si>
  <si>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</si>
  <si>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</si>
  <si>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</si>
  <si>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</si>
  <si>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</si>
  <si>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</si>
  <si>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</si>
  <si>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</si>
  <si>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</si>
  <si>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</si>
  <si>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</si>
  <si>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</si>
  <si>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</si>
  <si>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</si>
  <si>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</si>
  <si>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</si>
  <si>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</si>
  <si>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</si>
  <si>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</si>
  <si>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</si>
  <si>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</si>
  <si>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</si>
  <si>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</si>
  <si>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</si>
  <si>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</si>
  <si>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</si>
  <si>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</si>
  <si>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</si>
  <si>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</si>
  <si>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</si>
  <si>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</si>
  <si>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</si>
  <si>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</si>
  <si>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</si>
  <si>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</si>
  <si>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</si>
  <si>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</si>
  <si>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</si>
  <si>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</si>
  <si>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</si>
  <si>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</si>
  <si>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</si>
  <si>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</si>
  <si>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</si>
  <si>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</si>
  <si>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</si>
  <si>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</si>
  <si>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</si>
  <si>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</si>
  <si>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</si>
  <si>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</si>
  <si>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</si>
  <si>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</si>
  <si>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</si>
  <si>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</si>
  <si>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</si>
  <si>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</si>
  <si>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</si>
  <si>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</si>
  <si>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</si>
  <si>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</si>
  <si>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</si>
  <si>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</si>
  <si>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</si>
  <si>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</si>
  <si>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</si>
  <si>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</si>
  <si>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</si>
  <si>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</si>
  <si>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</si>
  <si>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</si>
  <si>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</si>
  <si>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</si>
  <si>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</si>
  <si>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</si>
  <si>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</si>
  <si>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</si>
  <si>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</si>
  <si>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</si>
  <si>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</si>
  <si>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</si>
  <si>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</si>
  <si>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</si>
  <si>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</si>
  <si>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</si>
  <si>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</si>
  <si>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</si>
  <si>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</si>
  <si>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</si>
  <si>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</si>
  <si>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</si>
  <si>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</si>
  <si>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</si>
  <si>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</si>
  <si>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</si>
  <si>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</si>
  <si>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</si>
  <si>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</si>
  <si>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</si>
  <si>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</si>
  <si>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</si>
  <si>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</si>
  <si>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</si>
  <si>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</si>
  <si>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</si>
  <si>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</si>
  <si>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</si>
  <si>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</si>
  <si>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</si>
  <si>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</si>
  <si>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</si>
  <si>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</si>
  <si>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</si>
  <si>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</si>
  <si>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</si>
  <si>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</si>
  <si>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</si>
  <si>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</si>
  <si>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</si>
  <si>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</si>
  <si>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</si>
  <si>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</si>
  <si>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</si>
  <si>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</si>
  <si>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</si>
  <si>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</si>
  <si>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</si>
  <si>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</si>
  <si>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</si>
  <si>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</si>
  <si>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</si>
  <si>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</si>
  <si>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</si>
  <si>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</si>
  <si>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</si>
  <si>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</si>
  <si>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</si>
  <si>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</si>
  <si>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</si>
  <si>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</si>
  <si>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</si>
  <si>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</si>
  <si>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</si>
  <si>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</si>
  <si>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</si>
  <si>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</si>
  <si>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</si>
  <si>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</si>
  <si>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</si>
  <si>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</si>
  <si>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</si>
  <si>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</si>
  <si>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</si>
  <si>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</si>
  <si>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</si>
  <si>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</si>
  <si>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</si>
  <si>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</si>
  <si>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</si>
  <si>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</si>
  <si>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</si>
  <si>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</si>
  <si>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</si>
  <si>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</si>
  <si>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</si>
  <si>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</si>
  <si>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</si>
  <si>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</si>
  <si>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</si>
  <si>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</si>
  <si>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</si>
  <si>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</si>
  <si>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</si>
  <si>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</si>
  <si>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</si>
  <si>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</si>
  <si>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</si>
  <si>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</si>
  <si>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</si>
  <si>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</si>
  <si>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</si>
  <si>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</si>
  <si>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</si>
  <si>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</si>
  <si>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</si>
  <si>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</si>
  <si>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</si>
  <si>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</si>
  <si>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</si>
  <si>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</si>
  <si>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</si>
  <si>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</si>
  <si>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</si>
  <si>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</si>
  <si>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</si>
  <si>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</si>
  <si>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</si>
  <si>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</si>
  <si>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</si>
  <si>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</si>
  <si>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</si>
  <si>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</si>
  <si>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</si>
  <si>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</si>
  <si>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</si>
  <si>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</si>
  <si>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</si>
  <si>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</si>
  <si>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</si>
  <si>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</si>
  <si>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</si>
  <si>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</si>
  <si>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</si>
  <si>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</si>
  <si>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</si>
  <si>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</si>
  <si>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</si>
  <si>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</si>
  <si>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</si>
  <si>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</si>
  <si>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</si>
  <si>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</si>
  <si>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</si>
  <si>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</si>
  <si>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</si>
  <si>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</si>
  <si>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</si>
  <si>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</si>
  <si>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</si>
  <si>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</si>
  <si>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</si>
  <si>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</si>
  <si>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</si>
  <si>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</si>
  <si>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</si>
  <si>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</si>
  <si>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</si>
  <si>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</si>
  <si>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</si>
  <si>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</si>
  <si>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</si>
  <si>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</si>
  <si>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</si>
  <si>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</si>
  <si>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</si>
  <si>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</si>
  <si>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</si>
  <si>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</si>
  <si>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</si>
  <si>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</si>
  <si>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</si>
  <si>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</si>
  <si>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</si>
  <si>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</si>
  <si>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</si>
  <si>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</si>
  <si>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</si>
  <si>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</si>
  <si>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</si>
  <si>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</si>
  <si>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</si>
  <si>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</si>
  <si>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</si>
  <si>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</si>
  <si>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</si>
  <si>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</si>
  <si>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</si>
  <si>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</si>
  <si>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</si>
  <si>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</si>
  <si>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</si>
  <si>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</si>
  <si>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</si>
  <si>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</si>
  <si>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</si>
  <si>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</si>
  <si>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</si>
  <si>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</si>
  <si>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</si>
  <si>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</si>
  <si>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</si>
  <si>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</si>
  <si>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</si>
  <si>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</si>
  <si>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</si>
  <si>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</si>
  <si>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</si>
  <si>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</si>
  <si>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</si>
  <si>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</si>
  <si>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</si>
  <si>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</si>
  <si>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</si>
  <si>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</si>
  <si>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</si>
  <si>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</si>
  <si>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</si>
  <si>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</si>
  <si>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</si>
  <si>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</si>
  <si>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</si>
  <si>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</si>
  <si>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</si>
  <si>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</si>
  <si>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</si>
  <si>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</si>
  <si>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</si>
  <si>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</si>
  <si>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</si>
  <si>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</si>
  <si>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</si>
  <si>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</si>
  <si>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</si>
  <si>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</si>
  <si>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</si>
  <si>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</si>
  <si>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</si>
  <si>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</si>
  <si>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</si>
  <si>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</si>
  <si>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</si>
  <si>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</si>
  <si>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</si>
  <si>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</si>
  <si>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</si>
  <si>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</si>
  <si>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</si>
  <si>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</si>
  <si>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</si>
  <si>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</si>
  <si>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</si>
  <si>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</si>
  <si>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</si>
  <si>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</si>
  <si>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</si>
  <si>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</si>
  <si>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</si>
  <si>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</si>
  <si>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</si>
  <si>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</si>
  <si>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</si>
  <si>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</si>
  <si>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</si>
  <si>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</si>
  <si>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</si>
  <si>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</si>
  <si>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</si>
  <si>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</si>
  <si>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</si>
  <si>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</si>
  <si>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</si>
  <si>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</si>
  <si>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</si>
  <si>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</si>
  <si>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</si>
  <si>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</si>
  <si>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</si>
  <si>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</si>
  <si>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</si>
  <si>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</si>
  <si>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</si>
  <si>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</si>
  <si>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</si>
  <si>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</si>
  <si>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</si>
  <si>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</si>
  <si>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</si>
  <si>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</si>
  <si>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</si>
  <si>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</si>
  <si>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</si>
  <si>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</si>
  <si>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</si>
  <si>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</si>
  <si>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</si>
  <si>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</si>
  <si>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</si>
  <si>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</si>
  <si>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</si>
  <si>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</si>
  <si>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</si>
  <si>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</si>
  <si>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</si>
  <si>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</si>
  <si>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</si>
  <si>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</si>
  <si>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</si>
  <si>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</si>
  <si>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</si>
  <si>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</si>
  <si>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</si>
  <si>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</si>
  <si>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</si>
  <si>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</si>
  <si>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</si>
  <si>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</si>
  <si>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</si>
  <si>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</si>
  <si>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</si>
  <si>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</si>
  <si>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</si>
  <si>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</si>
  <si>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</si>
  <si>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</si>
  <si>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</si>
  <si>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</si>
  <si>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</si>
  <si>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</si>
  <si>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</si>
  <si>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</si>
  <si>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</si>
  <si>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</si>
  <si>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</si>
  <si>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</si>
  <si>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</si>
  <si>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</si>
  <si>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</si>
  <si>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</si>
  <si>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</si>
  <si>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</si>
  <si>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</si>
  <si>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</si>
  <si>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</si>
  <si>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</si>
  <si>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</si>
  <si>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</si>
  <si>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</si>
  <si>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</si>
  <si>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</si>
  <si>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</si>
  <si>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</si>
  <si>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</si>
  <si>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</si>
  <si>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</si>
  <si>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</si>
  <si>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</si>
  <si>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</si>
  <si>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</si>
  <si>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</si>
  <si>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</si>
  <si>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</si>
  <si>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</si>
  <si>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</si>
  <si>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</si>
  <si>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</si>
  <si>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</si>
  <si>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</si>
  <si>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</si>
  <si>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</si>
  <si>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</si>
  <si>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</si>
  <si>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</si>
  <si>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</si>
  <si>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</si>
  <si>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</si>
  <si>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</si>
  <si>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</si>
  <si>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</si>
  <si>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</si>
  <si>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</si>
  <si>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</si>
  <si>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</si>
  <si>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</si>
  <si>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</si>
  <si>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</si>
  <si>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</si>
  <si>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</si>
  <si>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</si>
  <si>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</si>
  <si>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</si>
  <si>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</si>
  <si>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</si>
  <si>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</si>
  <si>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</si>
  <si>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</si>
  <si>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</si>
  <si>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</si>
  <si>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</si>
  <si>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</si>
  <si>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</si>
  <si>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</si>
  <si>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</si>
  <si>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</si>
  <si>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</si>
  <si>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</si>
  <si>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</si>
  <si>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</si>
  <si>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</si>
  <si>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</si>
  <si>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</si>
  <si>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</si>
  <si>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</si>
  <si>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</si>
  <si>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</si>
  <si>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</si>
  <si>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Sum of CF_attrition count</t>
  </si>
  <si>
    <t>Sum of CF_attrition counts</t>
  </si>
  <si>
    <t>Average of Age</t>
  </si>
  <si>
    <t>Total Employees</t>
  </si>
  <si>
    <t>Attrition Count</t>
  </si>
  <si>
    <t>Average Age</t>
  </si>
  <si>
    <t>Active Employee</t>
  </si>
  <si>
    <t>Attrition Rate</t>
  </si>
  <si>
    <t>Average of Job Satisfaction</t>
  </si>
  <si>
    <t>Average Ratting</t>
  </si>
  <si>
    <t>Blance Rating</t>
  </si>
  <si>
    <t>Row Labels</t>
  </si>
  <si>
    <t>Grand Total</t>
  </si>
  <si>
    <t>Count of Employee</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</si>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</sst>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b/>
      <sz val="11"/>
      <color theme="1"/>
      <name val="Aptos Narrow"/>
      <family val="2"/>
      <scheme val="minor"/>
    </font>
    <font>
      <sz val="12"/>
      <color theme="1"/>
      <name val="Aptos Narrow"/>
      <scheme val="minor"/>
    </font>
  </fonts>
  <fills count="2">
    <fill>
      <patternFill patternType="none"/>
    </fill>
    <fill>
      <patternFill patternType="gray125"/>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s>
  <cellStyleXfs count="2">
    <xf numFmtId="0" fontId="0" fillId="0" borderId="0"/>
    <xf numFmtId="0" fontId="2" fillId="0" borderId="0"/>
  </cellStyleXfs>
  <cellXfs count="28">
    <xf numFmtId="0" fontId="0" fillId="0" borderId="0" xfId="0"/>
    <xf numFmtId="0" fontId="2" fillId="0" borderId="0" xfId="1"/>
    <xf numFmtId="0" fontId="0" fillId="0" borderId="0" xfId="0" applyNumberFormat="1"/>
    <xf numFmtId="1" fontId="0" fillId="0" borderId="0" xfId="0" applyNumberFormat="1"/>
    <xf numFmtId="9" fontId="0" fillId="0" borderId="0" xfId="0" applyNumberFormat="1"/>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1" fontId="0" fillId="0" borderId="5" xfId="0" applyNumberFormat="1" applyBorder="1"/>
    <xf numFmtId="10" fontId="0" fillId="0" borderId="6" xfId="0" applyNumberFormat="1" applyBorder="1"/>
    <xf numFmtId="164" fontId="0" fillId="0" borderId="0" xfId="0" applyNumberFormat="1"/>
    <xf numFmtId="0" fontId="0" fillId="0" borderId="0" xfId="0" pivotButton="1"/>
    <xf numFmtId="0" fontId="0" fillId="0" borderId="0" xfId="0" applyAlignment="1">
      <alignment horizontal="left"/>
    </xf>
    <xf numFmtId="0" fontId="1" fillId="0" borderId="7" xfId="0" applyFont="1" applyBorder="1"/>
    <xf numFmtId="0" fontId="0" fillId="0" borderId="8" xfId="0" applyBorder="1"/>
    <xf numFmtId="0" fontId="0" fillId="0" borderId="9" xfId="0" applyBorder="1"/>
    <xf numFmtId="0" fontId="0" fillId="0" borderId="10" xfId="0" applyBorder="1"/>
    <xf numFmtId="0" fontId="0" fillId="0" borderId="6" xfId="0" applyBorder="1"/>
    <xf numFmtId="0" fontId="0" fillId="0" borderId="11" xfId="0" applyBorder="1"/>
    <xf numFmtId="0" fontId="0" fillId="0" borderId="12" xfId="0" applyBorder="1"/>
    <xf numFmtId="0" fontId="1" fillId="0" borderId="13" xfId="0" applyFont="1" applyBorder="1"/>
    <xf numFmtId="0" fontId="1" fillId="0" borderId="14" xfId="0" applyFont="1" applyBorder="1"/>
    <xf numFmtId="0" fontId="0" fillId="0" borderId="1" xfId="0" applyBorder="1"/>
    <xf numFmtId="0" fontId="1" fillId="0" borderId="15" xfId="0" applyFont="1" applyBorder="1"/>
    <xf numFmtId="0" fontId="0" fillId="0" borderId="16" xfId="0" applyBorder="1"/>
    <xf numFmtId="0" fontId="0" fillId="0" borderId="17" xfId="0" applyBorder="1"/>
  </cellXfs>
  <cellStyles count="2">
    <cellStyle name="Normal" xfId="0" builtinId="0"/>
    <cellStyle name="Normal 2" xfId="1" xr:uid="{6EDD7244-67F2-4A74-97BA-C9AF0B56166C}"/>
  </cellStyles>
  <dxfs count="1">
    <dxf>
      <fill>
        <patternFill patternType="none">
          <bgColor auto="1"/>
        </patternFill>
      </fill>
    </dxf>
  </dxfs>
  <tableStyles count="1" defaultTableStyle="TableStyleMedium2" defaultPivotStyle="PivotStyleLight16">
    <tableStyle name="HR Slicer" pivot="0" table="0" count="4" xr9:uid="{E9CBDC83-7C71-4EA1-A78A-F13C0DD2AF8E}">
      <tableStyleElement type="wholeTable" dxfId="0"/>
    </tableStyle>
  </tableStyles>
  <colors>
    <mruColors>
      <color rgb="FFFFFFFF"/>
    </mruColors>
  </colors>
  <extLst>
    <ext xmlns:x14="http://schemas.microsoft.com/office/spreadsheetml/2009/9/main" uri="{46F421CA-312F-682f-3DD2-61675219B42D}">
      <x14:dxfs count="3">
        <dxf>
          <font>
            <b/>
            <i val="0"/>
            <color theme="5"/>
          </font>
          <fill>
            <gradientFill>
              <stop position="0">
                <color theme="1" tint="0.1490218817712943"/>
              </stop>
              <stop position="1">
                <color theme="0" tint="-0.49803155613879818"/>
              </stop>
            </gradientFill>
          </fill>
        </dxf>
        <dxf>
          <font>
            <b/>
            <i val="0"/>
            <color theme="0"/>
            <name val="Calibri"/>
            <family val="2"/>
            <scheme val="none"/>
          </font>
          <fill>
            <gradientFill>
              <stop position="0">
                <color theme="6" tint="-0.25098422193060094"/>
              </stop>
              <stop position="1">
                <color theme="6" tint="0.59999389629810485"/>
              </stop>
            </gradientFill>
          </fill>
        </dxf>
        <dxf>
          <font>
            <b/>
            <i val="0"/>
            <color theme="0"/>
          </font>
          <fill>
            <gradientFill>
              <stop position="0">
                <color theme="3" tint="0.74901577806939912"/>
              </stop>
              <stop position="1">
                <color theme="0" tint="-0.49803155613879818"/>
              </stop>
            </gradientFill>
          </fill>
        </dxf>
      </x14:dxfs>
    </ext>
    <ext xmlns:x14="http://schemas.microsoft.com/office/spreadsheetml/2009/9/main" uri="{EB79DEF2-80B8-43e5-95BD-54CBDDF9020C}">
      <x14:slicerStyles defaultSlicerStyle="SlicerStyleLight1">
        <x14:slicerStyle name="HR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gradFill>
                <a:gsLst>
                  <a:gs pos="0">
                    <a:schemeClr val="accent1">
                      <a:lumMod val="75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2CE7-4ECF-A8CA-530160E0323D}"/>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2CE7-4ECF-A8CA-530160E0323D}"/>
              </c:ext>
            </c:extLst>
          </c:dPt>
          <c:val>
            <c:numRef>
              <c:f>Pivots!$B$10:$B$11</c:f>
              <c:numCache>
                <c:formatCode>0.0</c:formatCode>
                <c:ptCount val="2"/>
                <c:pt idx="0">
                  <c:v>2.6265306122448981</c:v>
                </c:pt>
                <c:pt idx="1">
                  <c:v>1.3734693877551019</c:v>
                </c:pt>
              </c:numCache>
            </c:numRef>
          </c:val>
          <c:extLst>
            <c:ext xmlns:c16="http://schemas.microsoft.com/office/drawing/2014/chart" uri="{C3380CC4-5D6E-409C-BE32-E72D297353CC}">
              <c16:uniqueId val="{00000004-2CE7-4ECF-A8CA-530160E0323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chemeClr val="accent5">
                    <a:lumMod val="75000"/>
                  </a:schemeClr>
                </a:gs>
                <a:gs pos="100000">
                  <a:schemeClr val="accent5">
                    <a:lumMod val="60000"/>
                    <a:lumOff val="40000"/>
                  </a:schemeClr>
                </a:gs>
              </a:gsLst>
              <a:lin ang="5400000" scaled="1"/>
            </a:gradFill>
            <a:ln>
              <a:noFill/>
            </a:ln>
          </c:spPr>
          <c:dPt>
            <c:idx val="0"/>
            <c:bubble3D val="0"/>
            <c:spPr>
              <a:gradFill>
                <a:gsLst>
                  <a:gs pos="0">
                    <a:schemeClr val="accent5">
                      <a:lumMod val="75000"/>
                    </a:schemeClr>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1-109F-408A-903F-2272C1EB3A5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09F-408A-903F-2272C1EB3A5B}"/>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4-109F-408A-903F-2272C1EB3A5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Pivots!$B$10</c:f>
              <c:numCache>
                <c:formatCode>0.0</c:formatCode>
                <c:ptCount val="1"/>
                <c:pt idx="0">
                  <c:v>2.6265306122448981</c:v>
                </c:pt>
              </c:numCache>
            </c:numRef>
          </c:val>
          <c:extLst>
            <c:ext xmlns:c16="http://schemas.microsoft.com/office/drawing/2014/chart" uri="{C3380CC4-5D6E-409C-BE32-E72D297353CC}">
              <c16:uniqueId val="{00000000-805A-47BE-B0BF-451CFD0ECB31}"/>
            </c:ext>
          </c:extLst>
        </c:ser>
        <c:ser>
          <c:idx val="1"/>
          <c:order val="1"/>
          <c:spPr>
            <a:solidFill>
              <a:schemeClr val="bg1">
                <a:lumMod val="95000"/>
              </a:schemeClr>
            </a:solidFill>
            <a:ln>
              <a:noFill/>
            </a:ln>
            <a:effectLst/>
          </c:spPr>
          <c:invertIfNegative val="0"/>
          <c:dPt>
            <c:idx val="0"/>
            <c:invertIfNegative val="0"/>
            <c:bubble3D val="0"/>
            <c:spPr>
              <a:solidFill>
                <a:srgbClr val="FFFFFF"/>
              </a:solidFill>
              <a:ln>
                <a:noFill/>
              </a:ln>
              <a:effectLst/>
            </c:spPr>
            <c:extLst>
              <c:ext xmlns:c16="http://schemas.microsoft.com/office/drawing/2014/chart" uri="{C3380CC4-5D6E-409C-BE32-E72D297353CC}">
                <c16:uniqueId val="{00000002-805A-47BE-B0BF-451CFD0ECB31}"/>
              </c:ext>
            </c:extLst>
          </c:dPt>
          <c:val>
            <c:numRef>
              <c:f>Pivots!$B$11</c:f>
              <c:numCache>
                <c:formatCode>0.0</c:formatCode>
                <c:ptCount val="1"/>
                <c:pt idx="0">
                  <c:v>1.3734693877551019</c:v>
                </c:pt>
              </c:numCache>
            </c:numRef>
          </c:val>
          <c:extLst>
            <c:ext xmlns:c16="http://schemas.microsoft.com/office/drawing/2014/chart" uri="{C3380CC4-5D6E-409C-BE32-E72D297353CC}">
              <c16:uniqueId val="{00000001-805A-47BE-B0BF-451CFD0ECB31}"/>
            </c:ext>
          </c:extLst>
        </c:ser>
        <c:dLbls>
          <c:showLegendKey val="0"/>
          <c:showVal val="0"/>
          <c:showCatName val="0"/>
          <c:showSerName val="0"/>
          <c:showPercent val="0"/>
          <c:showBubbleSize val="0"/>
        </c:dLbls>
        <c:gapWidth val="0"/>
        <c:overlap val="100"/>
        <c:axId val="2023041184"/>
        <c:axId val="2023054144"/>
      </c:barChart>
      <c:catAx>
        <c:axId val="2023041184"/>
        <c:scaling>
          <c:orientation val="minMax"/>
        </c:scaling>
        <c:delete val="1"/>
        <c:axPos val="l"/>
        <c:majorTickMark val="none"/>
        <c:minorTickMark val="none"/>
        <c:tickLblPos val="nextTo"/>
        <c:crossAx val="2023054144"/>
        <c:crosses val="autoZero"/>
        <c:auto val="1"/>
        <c:lblAlgn val="ctr"/>
        <c:lblOffset val="100"/>
        <c:noMultiLvlLbl val="0"/>
      </c:catAx>
      <c:valAx>
        <c:axId val="2023054144"/>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2304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44E-40E9-BD2D-51484BC5D884}"/>
              </c:ext>
            </c:extLst>
          </c:dPt>
          <c:dPt>
            <c:idx val="1"/>
            <c:bubble3D val="0"/>
            <c:spPr>
              <a:gradFill>
                <a:gsLst>
                  <a:gs pos="0">
                    <a:schemeClr val="accent1">
                      <a:lumMod val="75000"/>
                    </a:schemeClr>
                  </a:gs>
                  <a:gs pos="9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3-144E-40E9-BD2D-51484BC5D884}"/>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4-144E-40E9-BD2D-51484BC5D88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50000"/>
                </a:schemeClr>
              </a:gs>
              <a:gs pos="100000">
                <a:schemeClr val="accent2">
                  <a:lumMod val="75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Pivots!$B$29</c:f>
              <c:strCache>
                <c:ptCount val="1"/>
                <c:pt idx="0">
                  <c:v>Total</c:v>
                </c:pt>
              </c:strCache>
            </c:strRef>
          </c:tx>
          <c:spPr>
            <a:gradFill flip="none" rotWithShape="1">
              <a:gsLst>
                <a:gs pos="0">
                  <a:schemeClr val="accent3">
                    <a:lumMod val="50000"/>
                  </a:schemeClr>
                </a:gs>
                <a:gs pos="100000">
                  <a:schemeClr val="accent2">
                    <a:lumMod val="75000"/>
                  </a:schemeClr>
                </a:gs>
              </a:gsLst>
              <a:path path="circle">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Pivots!$A$30:$A$35</c:f>
              <c:strCache>
                <c:ptCount val="5"/>
                <c:pt idx="0">
                  <c:v>Bachelor's Degree</c:v>
                </c:pt>
                <c:pt idx="1">
                  <c:v>Master's Degree</c:v>
                </c:pt>
                <c:pt idx="2">
                  <c:v>Associates Degree</c:v>
                </c:pt>
                <c:pt idx="3">
                  <c:v>High School</c:v>
                </c:pt>
                <c:pt idx="4">
                  <c:v>Doctoral Degree</c:v>
                </c:pt>
              </c:strCache>
            </c:strRef>
          </c:cat>
          <c:val>
            <c:numRef>
              <c:f>Pivots!$B$30:$B$35</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3BFA-4467-8345-4B2EB1862B7B}"/>
            </c:ext>
          </c:extLst>
        </c:ser>
        <c:dLbls>
          <c:dLblPos val="outEnd"/>
          <c:showLegendKey val="0"/>
          <c:showVal val="1"/>
          <c:showCatName val="0"/>
          <c:showSerName val="0"/>
          <c:showPercent val="0"/>
          <c:showBubbleSize val="0"/>
        </c:dLbls>
        <c:gapWidth val="100"/>
        <c:axId val="2119432816"/>
        <c:axId val="2119409776"/>
      </c:barChart>
      <c:catAx>
        <c:axId val="211943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9409776"/>
        <c:crosses val="autoZero"/>
        <c:auto val="1"/>
        <c:lblAlgn val="ctr"/>
        <c:lblOffset val="100"/>
        <c:noMultiLvlLbl val="0"/>
      </c:catAx>
      <c:valAx>
        <c:axId val="2119409776"/>
        <c:scaling>
          <c:orientation val="minMax"/>
        </c:scaling>
        <c:delete val="1"/>
        <c:axPos val="t"/>
        <c:numFmt formatCode="General" sourceLinked="1"/>
        <c:majorTickMark val="none"/>
        <c:minorTickMark val="none"/>
        <c:tickLblPos val="nextTo"/>
        <c:crossAx val="211943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[DashBoard.xlsx]Pivots!Attrition_by_Dep</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19050">
            <a:solidFill>
              <a:schemeClr val="lt1"/>
            </a:solidFill>
          </a:ln>
          <a:effectLst/>
        </c:spPr>
      </c:pivotFmt>
      <c:pivotFmt>
        <c:idx val="7"/>
        <c:spPr>
          <a:gradFill flip="none" rotWithShape="1">
            <a:gsLst>
              <a:gs pos="0">
                <a:schemeClr val="accent4">
                  <a:lumMod val="75000"/>
                </a:schemeClr>
              </a:gs>
              <a:gs pos="97000">
                <a:schemeClr val="accent4">
                  <a:lumMod val="60000"/>
                  <a:lumOff val="40000"/>
                </a:schemeClr>
              </a:gs>
            </a:gsLst>
            <a:path path="circle">
              <a:fillToRect t="100000" r="100000"/>
            </a:path>
            <a:tileRect l="-100000" b="-100000"/>
          </a:gradFill>
          <a:ln w="19050">
            <a:solidFill>
              <a:schemeClr val="lt1"/>
            </a:solidFill>
          </a:ln>
          <a:effectLst/>
        </c:spPr>
      </c:pivotFmt>
      <c:pivotFmt>
        <c:idx val="8"/>
        <c:spPr>
          <a:gradFill flip="none" rotWithShape="1">
            <a:gsLst>
              <a:gs pos="0">
                <a:schemeClr val="accent2">
                  <a:lumMod val="60000"/>
                  <a:lumOff val="40000"/>
                </a:schemeClr>
              </a:gs>
              <a:gs pos="100000">
                <a:schemeClr val="accent2">
                  <a:lumMod val="60000"/>
                </a:schemeClr>
              </a:gs>
            </a:gsLst>
            <a:path path="circle">
              <a:fillToRect l="50000" t="130000" r="50000" b="-30000"/>
            </a:path>
            <a:tileRect/>
          </a:gradFill>
          <a:ln w="19050">
            <a:solidFill>
              <a:schemeClr val="lt1"/>
            </a:solidFill>
          </a:ln>
          <a:effectLst/>
        </c:spPr>
      </c:pivotFmt>
    </c:pivotFmts>
    <c:plotArea>
      <c:layout/>
      <c:pieChart>
        <c:varyColors val="1"/>
        <c:ser>
          <c:idx val="0"/>
          <c:order val="0"/>
          <c:tx>
            <c:strRef>
              <c:f>Pivots!$B$51</c:f>
              <c:strCache>
                <c:ptCount val="1"/>
                <c:pt idx="0">
                  <c:v>Total</c:v>
                </c:pt>
              </c:strCache>
            </c:strRef>
          </c:tx>
          <c:dPt>
            <c:idx val="0"/>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1-829F-4625-8700-93BA205E13BB}"/>
              </c:ext>
            </c:extLst>
          </c:dPt>
          <c:dPt>
            <c:idx val="1"/>
            <c:bubble3D val="0"/>
            <c:spPr>
              <a:gradFill flip="none" rotWithShape="1">
                <a:gsLst>
                  <a:gs pos="0">
                    <a:schemeClr val="accent4">
                      <a:lumMod val="75000"/>
                    </a:schemeClr>
                  </a:gs>
                  <a:gs pos="97000">
                    <a:schemeClr val="accent4">
                      <a:lumMod val="60000"/>
                      <a:lumOff val="40000"/>
                    </a:schemeClr>
                  </a:gs>
                </a:gsLst>
                <a:path path="circle">
                  <a:fillToRect t="100000" r="100000"/>
                </a:path>
                <a:tileRect l="-100000" b="-100000"/>
              </a:gradFill>
              <a:ln w="19050">
                <a:solidFill>
                  <a:schemeClr val="lt1"/>
                </a:solidFill>
              </a:ln>
              <a:effectLst/>
            </c:spPr>
            <c:extLst>
              <c:ext xmlns:c16="http://schemas.microsoft.com/office/drawing/2014/chart" uri="{C3380CC4-5D6E-409C-BE32-E72D297353CC}">
                <c16:uniqueId val="{00000003-829F-4625-8700-93BA205E13BB}"/>
              </c:ext>
            </c:extLst>
          </c:dPt>
          <c:dPt>
            <c:idx val="2"/>
            <c:bubble3D val="0"/>
            <c:spPr>
              <a:gradFill flip="none" rotWithShape="1">
                <a:gsLst>
                  <a:gs pos="0">
                    <a:schemeClr val="accent2">
                      <a:lumMod val="60000"/>
                      <a:lumOff val="40000"/>
                    </a:schemeClr>
                  </a:gs>
                  <a:gs pos="100000">
                    <a:schemeClr val="accent2">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5-829F-4625-8700-93BA205E13BB}"/>
              </c:ext>
            </c:extLst>
          </c:dPt>
          <c:cat>
            <c:strRef>
              <c:f>Pivots!$A$52:$A$55</c:f>
              <c:strCache>
                <c:ptCount val="3"/>
                <c:pt idx="0">
                  <c:v>HR</c:v>
                </c:pt>
                <c:pt idx="1">
                  <c:v>R&amp;D</c:v>
                </c:pt>
                <c:pt idx="2">
                  <c:v>Sales</c:v>
                </c:pt>
              </c:strCache>
            </c:strRef>
          </c:cat>
          <c:val>
            <c:numRef>
              <c:f>Pivots!$B$52:$B$55</c:f>
              <c:numCache>
                <c:formatCode>General</c:formatCode>
                <c:ptCount val="3"/>
                <c:pt idx="0">
                  <c:v>12</c:v>
                </c:pt>
                <c:pt idx="1">
                  <c:v>133</c:v>
                </c:pt>
                <c:pt idx="2">
                  <c:v>92</c:v>
                </c:pt>
              </c:numCache>
            </c:numRef>
          </c:val>
          <c:extLst>
            <c:ext xmlns:c16="http://schemas.microsoft.com/office/drawing/2014/chart" uri="{C3380CC4-5D6E-409C-BE32-E72D297353CC}">
              <c16:uniqueId val="{00000006-829F-4625-8700-93BA205E13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[DashBoard.xlsx]Pivots!Attrition_by_Age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75000"/>
                </a:schemeClr>
              </a:gs>
              <a:gs pos="97000">
                <a:schemeClr val="accent2">
                  <a:lumMod val="50000"/>
                </a:schemeClr>
              </a:gs>
            </a:gsLst>
            <a:path path="circle">
              <a:fillToRect t="100000" r="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Pivots!$B$59</c:f>
              <c:strCache>
                <c:ptCount val="1"/>
                <c:pt idx="0">
                  <c:v>Total</c:v>
                </c:pt>
              </c:strCache>
            </c:strRef>
          </c:tx>
          <c:spPr>
            <a:gradFill>
              <a:gsLst>
                <a:gs pos="0">
                  <a:schemeClr val="accent3">
                    <a:lumMod val="75000"/>
                  </a:schemeClr>
                </a:gs>
                <a:gs pos="97000">
                  <a:schemeClr val="accent2">
                    <a:lumMod val="50000"/>
                  </a:schemeClr>
                </a:gs>
              </a:gsLst>
              <a:path path="circle">
                <a:fillToRect t="100000" r="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Pivots!$A$60:$A$65</c:f>
              <c:strCache>
                <c:ptCount val="5"/>
                <c:pt idx="0">
                  <c:v>25 - 34</c:v>
                </c:pt>
                <c:pt idx="1">
                  <c:v>35 - 44</c:v>
                </c:pt>
                <c:pt idx="2">
                  <c:v>Under 25</c:v>
                </c:pt>
                <c:pt idx="3">
                  <c:v>45 - 54</c:v>
                </c:pt>
                <c:pt idx="4">
                  <c:v>Over 55</c:v>
                </c:pt>
              </c:strCache>
            </c:strRef>
          </c:cat>
          <c:val>
            <c:numRef>
              <c:f>Pivots!$B$60:$B$65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129-48EF-AC3A-6C32F90BF15C}"/>
            </c:ext>
          </c:extLst>
        </c:ser>
        <c:dLbls>
          <c:dLblPos val="outEnd"/>
          <c:showLegendKey val="0"/>
          <c:showVal val="1"/>
          <c:showCatName val="0"/>
          <c:showSerName val="0"/>
          <c:showPercent val="0"/>
          <c:showBubbleSize val="0"/>
        </c:dLbls>
        <c:gapWidth val="150"/>
        <c:overlap val="-27"/>
        <c:axId val="38243680"/>
        <c:axId val="38231200"/>
      </c:barChart>
      <c:catAx>
        <c:axId val="382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231200"/>
        <c:crosses val="autoZero"/>
        <c:auto val="1"/>
        <c:lblAlgn val="ctr"/>
        <c:lblOffset val="100"/>
        <c:noMultiLvlLbl val="0"/>
      </c:catAx>
      <c:valAx>
        <c:axId val="38231200"/>
        <c:scaling>
          <c:orientation val="minMax"/>
        </c:scaling>
        <c:delete val="1"/>
        <c:axPos val="l"/>
        <c:numFmt formatCode="General" sourceLinked="1"/>
        <c:majorTickMark val="none"/>
        <c:minorTickMark val="none"/>
        <c:tickLblPos val="nextTo"/>
        <c:crossAx val="3824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18-4176-9CE6-1DFD099C7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18-4176-9CE6-1DFD099C7AF9}"/>
              </c:ext>
            </c:extLst>
          </c:dPt>
          <c:val>
            <c:numRef>
              <c:f>Pivots!$C$10:$C$11</c:f>
              <c:numCache>
                <c:formatCode>General</c:formatCode>
                <c:ptCount val="2"/>
                <c:pt idx="0">
                  <c:v>0.65663265306122454</c:v>
                </c:pt>
                <c:pt idx="1">
                  <c:v>0.34336734693877546</c:v>
                </c:pt>
              </c:numCache>
            </c:numRef>
          </c:val>
          <c:extLst>
            <c:ext xmlns:c16="http://schemas.microsoft.com/office/drawing/2014/chart" uri="{C3380CC4-5D6E-409C-BE32-E72D297353CC}">
              <c16:uniqueId val="{00000000-0416-463F-A948-257CB77A031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Pivots!$B$10</c:f>
              <c:numCache>
                <c:formatCode>0.0</c:formatCode>
                <c:ptCount val="1"/>
                <c:pt idx="0">
                  <c:v>2.6265306122448981</c:v>
                </c:pt>
              </c:numCache>
            </c:numRef>
          </c:val>
          <c:extLst>
            <c:ext xmlns:c16="http://schemas.microsoft.com/office/drawing/2014/chart" uri="{C3380CC4-5D6E-409C-BE32-E72D297353CC}">
              <c16:uniqueId val="{00000000-A2BF-46DF-8DA5-F58F982C6473}"/>
            </c:ext>
          </c:extLst>
        </c:ser>
        <c:ser>
          <c:idx val="1"/>
          <c:order val="1"/>
          <c:spPr>
            <a:solidFill>
              <a:schemeClr val="accent2"/>
            </a:solidFill>
            <a:ln>
              <a:noFill/>
            </a:ln>
            <a:effectLst/>
          </c:spPr>
          <c:invertIfNegative val="0"/>
          <c:val>
            <c:numRef>
              <c:f>Pivots!$B$11</c:f>
              <c:numCache>
                <c:formatCode>0.0</c:formatCode>
                <c:ptCount val="1"/>
                <c:pt idx="0">
                  <c:v>1.3734693877551019</c:v>
                </c:pt>
              </c:numCache>
            </c:numRef>
          </c:val>
          <c:extLst>
            <c:ext xmlns:c16="http://schemas.microsoft.com/office/drawing/2014/chart" uri="{C3380CC4-5D6E-409C-BE32-E72D297353CC}">
              <c16:uniqueId val="{00000001-A2BF-46DF-8DA5-F58F982C6473}"/>
            </c:ext>
          </c:extLst>
        </c:ser>
        <c:dLbls>
          <c:showLegendKey val="0"/>
          <c:showVal val="0"/>
          <c:showCatName val="0"/>
          <c:showSerName val="0"/>
          <c:showPercent val="0"/>
          <c:showBubbleSize val="0"/>
        </c:dLbls>
        <c:gapWidth val="0"/>
        <c:overlap val="100"/>
        <c:axId val="2023041184"/>
        <c:axId val="2023054144"/>
      </c:barChart>
      <c:catAx>
        <c:axId val="2023041184"/>
        <c:scaling>
          <c:orientation val="minMax"/>
        </c:scaling>
        <c:delete val="1"/>
        <c:axPos val="l"/>
        <c:majorTickMark val="none"/>
        <c:minorTickMark val="none"/>
        <c:tickLblPos val="nextTo"/>
        <c:crossAx val="2023054144"/>
        <c:crosses val="autoZero"/>
        <c:auto val="1"/>
        <c:lblAlgn val="ctr"/>
        <c:lblOffset val="100"/>
        <c:noMultiLvlLbl val="0"/>
      </c:catAx>
      <c:valAx>
        <c:axId val="2023054144"/>
        <c:scaling>
          <c:orientation val="minMax"/>
          <c:max val="4"/>
          <c:min val="0"/>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2304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5-48A2-A2C6-D5E870423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5-48A2-A2C6-D5E870423D1B}"/>
              </c:ext>
            </c:extLst>
          </c:dPt>
          <c:val>
            <c:numRef>
              <c:f>Pivots!$B$18:$B$19</c:f>
              <c:numCache>
                <c:formatCode>General</c:formatCode>
                <c:ptCount val="2"/>
                <c:pt idx="0">
                  <c:v>588</c:v>
                </c:pt>
                <c:pt idx="1">
                  <c:v>882</c:v>
                </c:pt>
              </c:numCache>
            </c:numRef>
          </c:val>
          <c:extLst>
            <c:ext xmlns:c16="http://schemas.microsoft.com/office/drawing/2014/chart" uri="{C3380CC4-5D6E-409C-BE32-E72D297353CC}">
              <c16:uniqueId val="{00000000-7DEB-424B-9066-322168FBED6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Pivots!$A$30:$A$35</c:f>
              <c:strCache>
                <c:ptCount val="5"/>
                <c:pt idx="0">
                  <c:v>Bachelor's Degree</c:v>
                </c:pt>
                <c:pt idx="1">
                  <c:v>Master's Degree</c:v>
                </c:pt>
                <c:pt idx="2">
                  <c:v>Associates Degree</c:v>
                </c:pt>
                <c:pt idx="3">
                  <c:v>High School</c:v>
                </c:pt>
                <c:pt idx="4">
                  <c:v>Doctoral Degree</c:v>
                </c:pt>
              </c:strCache>
            </c:strRef>
          </c:cat>
          <c:val>
            <c:numRef>
              <c:f>Pivots!$B$30:$B$35</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F309-49BA-A6D8-5D28D6369A0F}"/>
            </c:ext>
          </c:extLst>
        </c:ser>
        <c:dLbls>
          <c:dLblPos val="outEnd"/>
          <c:showLegendKey val="0"/>
          <c:showVal val="1"/>
          <c:showCatName val="0"/>
          <c:showSerName val="0"/>
          <c:showPercent val="0"/>
          <c:showBubbleSize val="0"/>
        </c:dLbls>
        <c:gapWidth val="182"/>
        <c:axId val="2119432816"/>
        <c:axId val="2119409776"/>
      </c:barChart>
      <c:catAx>
        <c:axId val="2119432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9409776"/>
        <c:crosses val="autoZero"/>
        <c:auto val="1"/>
        <c:lblAlgn val="ctr"/>
        <c:lblOffset val="100"/>
        <c:noMultiLvlLbl val="0"/>
      </c:catAx>
      <c:valAx>
        <c:axId val="2119409776"/>
        <c:scaling>
          <c:orientation val="minMax"/>
        </c:scaling>
        <c:delete val="1"/>
        <c:axPos val="t"/>
        <c:numFmt formatCode="General" sourceLinked="1"/>
        <c:majorTickMark val="none"/>
        <c:minorTickMark val="none"/>
        <c:tickLblPos val="nextTo"/>
        <c:crossAx val="211943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[DashBoard.xlsx]Pivots!Attrition_by_Dep</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4B-40BC-93B7-93AB9AA8CF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4B-40BC-93B7-93AB9AA8CF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4B-40BC-93B7-93AB9AA8CFCB}"/>
              </c:ext>
            </c:extLst>
          </c:dPt>
          <c:cat>
            <c:strRef>
              <c:f>Pivots!$A$52:$A$55</c:f>
              <c:strCache>
                <c:ptCount val="3"/>
                <c:pt idx="0">
                  <c:v>HR</c:v>
                </c:pt>
                <c:pt idx="1">
                  <c:v>R&amp;D</c:v>
                </c:pt>
                <c:pt idx="2">
                  <c:v>Sales</c:v>
                </c:pt>
              </c:strCache>
            </c:strRef>
          </c:cat>
          <c:val>
            <c:numRef>
              <c:f>Pivots!$B$52:$B$55</c:f>
              <c:numCache>
                <c:formatCode>General</c:formatCode>
                <c:ptCount val="3"/>
                <c:pt idx="0">
                  <c:v>12</c:v>
                </c:pt>
                <c:pt idx="1">
                  <c:v>133</c:v>
                </c:pt>
                <c:pt idx="2">
                  <c:v>92</c:v>
                </c:pt>
              </c:numCache>
            </c:numRef>
          </c:val>
          <c:extLst>
            <c:ext xmlns:c16="http://schemas.microsoft.com/office/drawing/2014/chart" uri="{C3380CC4-5D6E-409C-BE32-E72D297353CC}">
              <c16:uniqueId val="{00000000-0BC0-48F1-96DB-5A8F3671B2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[DashBoard.xlsx]Pivots!Attrition_by_Age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Pivots!$A$60:$A$65</c:f>
              <c:strCache>
                <c:ptCount val="5"/>
                <c:pt idx="0">
                  <c:v>25 - 34</c:v>
                </c:pt>
                <c:pt idx="1">
                  <c:v>35 - 44</c:v>
                </c:pt>
                <c:pt idx="2">
                  <c:v>Under 25</c:v>
                </c:pt>
                <c:pt idx="3">
                  <c:v>45 - 54</c:v>
                </c:pt>
                <c:pt idx="4">
                  <c:v>Over 55</c:v>
                </c:pt>
              </c:strCache>
            </c:strRef>
          </c:cat>
          <c:val>
            <c:numRef>
              <c:f>Pivots!$B$60:$B$65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E2A-4C1F-8300-01CA2735DD0C}"/>
            </c:ext>
          </c:extLst>
        </c:ser>
        <c:dLbls>
          <c:dLblPos val="outEnd"/>
          <c:showLegendKey val="0"/>
          <c:showVal val="1"/>
          <c:showCatName val="0"/>
          <c:showSerName val="0"/>
          <c:showPercent val="0"/>
          <c:showBubbleSize val="0"/>
        </c:dLbls>
        <c:gapWidth val="219"/>
        <c:overlap val="-27"/>
        <c:axId val="38243680"/>
        <c:axId val="38231200"/>
      </c:barChart>
      <c:catAx>
        <c:axId val="3824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231200"/>
        <c:crosses val="autoZero"/>
        <c:auto val="1"/>
        <c:lblAlgn val="ctr"/>
        <c:lblOffset val="100"/>
        <c:noMultiLvlLbl val="0"/>
      </c:catAx>
      <c:valAx>
        <c:axId val="38231200"/>
        <c:scaling>
          <c:orientation val="minMax"/>
        </c:scaling>
        <c:delete val="1"/>
        <c:axPos val="l"/>
        <c:numFmt formatCode="General" sourceLinked="1"/>
        <c:majorTickMark val="none"/>
        <c:minorTickMark val="none"/>
        <c:tickLblPos val="nextTo"/>
        <c:crossAx val="3824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2C1EB85-9E1A-4F9D-B1D1-8DE0FF74D19F}">
          <cx:dataPt idx="2">
            <cx:spPr>
              <a:solidFill>
                <a:srgbClr val="0E2841">
                  <a:lumMod val="50000"/>
                  <a:lumOff val="50000"/>
                </a:srgbClr>
              </a:solidFill>
            </cx:spPr>
          </cx:dataPt>
          <cx:dataPt idx="8">
            <cx:spPr>
              <a:solidFill>
                <a:srgbClr val="0E2841">
                  <a:lumMod val="75000"/>
                  <a:lumOff val="2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_xlchart.v2.2</cx:f>
      </cx:numDim>
    </cx:data>
  </cx:chartData>
  <cx:chart>
    <cx:plotArea>
      <cx:plotAreaRegion>
        <cx:series layoutId="funnel" uniqueId="{D0AF661B-DA5E-472F-8287-88710F697FAE}">
          <cx:spPr>
            <a:gradFill>
              <a:gsLst>
                <a:gs pos="0">
                  <a:schemeClr val="accent3">
                    <a:lumMod val="75000"/>
                  </a:schemeClr>
                </a:gs>
                <a:gs pos="97000">
                  <a:schemeClr val="accent2">
                    <a:lumMod val="50000"/>
                  </a:schemeClr>
                </a:gs>
              </a:gsLst>
              <a:path path="circle">
                <a:fillToRect t="100000" r="100000"/>
              </a:path>
            </a:gradFill>
          </cx:spPr>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hidden="1">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D2C1EB85-9E1A-4F9D-B1D1-8DE0FF74D19F}">
          <cx:dataPt idx="2">
            <cx:spPr>
              <a:solidFill>
                <a:srgbClr val="0E2841">
                  <a:lumMod val="50000"/>
                  <a:lumOff val="50000"/>
                </a:srgbClr>
              </a:solidFill>
            </cx:spPr>
          </cx:dataPt>
          <cx:dataPt idx="8">
            <cx:spPr>
              <a:solidFill>
                <a:srgbClr val="0E2841">
                  <a:lumMod val="75000"/>
                  <a:lumOff val="25000"/>
                </a:srgbClr>
              </a:solidFill>
            </cx:spPr>
          </cx:dataPt>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_xlchart.v2.5</cx:f>
      </cx:numDim>
    </cx:data>
  </cx:chartData>
  <cx:chart>
    <cx:plotArea>
      <cx:plotAreaRegion>
        <cx:series layoutId="funnel" uniqueId="{D0AF661B-DA5E-472F-8287-88710F697FAE}">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hidden="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microsoft.com/office/2014/relationships/chartEx" Target="../charts/chartEx1.xml"/><Relationship Id="rId3" Type="http://schemas.openxmlformats.org/officeDocument/2006/relationships/image" Target="../media/image3.png"/><Relationship Id="rId21" Type="http://schemas.microsoft.com/office/2014/relationships/chartEx" Target="../charts/chartEx2.xml"/><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image" Target="../media/image12.emf"/><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3.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760000" cy="7439025"/>
    <xdr:grpSp>
      <xdr:nvGrpSpPr>
        <xdr:cNvPr id="2" name="Shape 2">
          <a:extLst>
            <a:ext uri="{FF2B5EF4-FFF2-40B4-BE49-F238E27FC236}">
              <a16:creationId xmlns:a16="http://schemas.microsoft.com/office/drawing/2014/main" id="{6BFEDA8D-FCAC-4EE0-99E1-A159AA354986}"/>
            </a:ext>
          </a:extLst>
        </xdr:cNvPr>
        <xdr:cNvGrpSpPr/>
      </xdr:nvGrpSpPr>
      <xdr:grpSpPr>
        <a:xfrm>
          <a:off x="0" y="0"/>
          <a:ext cx="14760000" cy="7439025"/>
          <a:chOff x="0" y="60488"/>
          <a:chExt cx="10692000" cy="7439025"/>
        </a:xfrm>
      </xdr:grpSpPr>
      <xdr:grpSp>
        <xdr:nvGrpSpPr>
          <xdr:cNvPr id="3" name="Shape 29">
            <a:extLst>
              <a:ext uri="{FF2B5EF4-FFF2-40B4-BE49-F238E27FC236}">
                <a16:creationId xmlns:a16="http://schemas.microsoft.com/office/drawing/2014/main" id="{AA436112-8FB1-FA62-3F8D-FEEC6304D3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79021145-9292-7F0E-9AD3-919798B84FE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8AF79128-BC56-E2A6-FE29-C229CED4555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D7419FF9-BD68-AA95-F7F9-6D23974622C6}"/>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F0AB584-7926-AA46-52DA-74FB3148DC51}"/>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94916BEB-1FC6-EBAA-C699-5DF7118F579C}"/>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1C17DB8-4CD3-B3EE-2676-734467595119}"/>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448E44C3-A416-3FDC-9F84-58FB76EA54E2}"/>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21C7B4CA-A32C-D283-5540-F2DBBE5B6D79}"/>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7F1AA75D-F4C2-257D-2DB2-7430A7EB488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6E1D27E6-4643-C967-03A8-CCBBDDEF0B95}"/>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0514827D-6EEB-1F51-4B79-7FF2545D454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D2E5BFF9-B46F-9CA0-6553-1A35F6823079}"/>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62C9E40E-0FEE-BD37-A5CA-0A380BB7F85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E50B5050-2438-3AF1-2F1E-C854DB2805ED}"/>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FE2A1932-23C9-C27B-BD00-3E09C1354AE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22E37046-C002-C824-24ED-B830BE9B3E09}"/>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DBDF8F7A-9E8E-67EA-CFC5-0717A436C5C3}"/>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6F52EFBA-6552-5E01-E420-F30BBF227E34}"/>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9D3086B5-3BF6-5BC8-8226-A5664FD19225}"/>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063E2EDF-F785-B8A7-B30E-1BA54E753658}"/>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D1E66BA-70F2-FD20-810A-AED14AFF4A9C}"/>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F6C63B7F-BCBC-F5F9-1564-C7E8D369F7EA}"/>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DF7FCA91-83BA-3435-697D-6BC99E9748DA}"/>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B2598CF6-AE13-DD61-758E-BBA9D244AB82}"/>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D04FA475-8899-24AD-5915-D81EAB497CD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0</xdr:col>
      <xdr:colOff>179294</xdr:colOff>
      <xdr:row>0</xdr:row>
      <xdr:rowOff>156882</xdr:rowOff>
    </xdr:from>
    <xdr:ext cx="739588" cy="661147"/>
    <xdr:pic>
      <xdr:nvPicPr>
        <xdr:cNvPr id="29" name="image1.png">
          <a:extLst>
            <a:ext uri="{FF2B5EF4-FFF2-40B4-BE49-F238E27FC236}">
              <a16:creationId xmlns:a16="http://schemas.microsoft.com/office/drawing/2014/main" id="{C903812E-1208-43B4-ADDD-E5F297AB1851}"/>
            </a:ext>
          </a:extLst>
        </xdr:cNvPr>
        <xdr:cNvPicPr preferRelativeResize="0"/>
      </xdr:nvPicPr>
      <xdr:blipFill>
        <a:blip xmlns:r="http://schemas.openxmlformats.org/officeDocument/2006/relationships" r:embed="rId1" cstate="print"/>
        <a:stretch>
          <a:fillRect/>
        </a:stretch>
      </xdr:blipFill>
      <xdr:spPr>
        <a:xfrm>
          <a:off x="179294" y="156882"/>
          <a:ext cx="739588" cy="661147"/>
        </a:xfrm>
        <a:prstGeom prst="rect">
          <a:avLst/>
        </a:prstGeom>
        <a:noFill/>
      </xdr:spPr>
    </xdr:pic>
    <xdr:clientData fLocksWithSheet="0"/>
  </xdr:oneCellAnchor>
  <xdr:twoCellAnchor>
    <xdr:from>
      <xdr:col>1</xdr:col>
      <xdr:colOff>560294</xdr:colOff>
      <xdr:row>0</xdr:row>
      <xdr:rowOff>179294</xdr:rowOff>
    </xdr:from>
    <xdr:to>
      <xdr:col>12</xdr:col>
      <xdr:colOff>268941</xdr:colOff>
      <xdr:row>4</xdr:row>
      <xdr:rowOff>22412</xdr:rowOff>
    </xdr:to>
    <xdr:sp macro="" textlink="">
      <xdr:nvSpPr>
        <xdr:cNvPr id="30" name="TextBox 29">
          <a:extLst>
            <a:ext uri="{FF2B5EF4-FFF2-40B4-BE49-F238E27FC236}">
              <a16:creationId xmlns:a16="http://schemas.microsoft.com/office/drawing/2014/main" id="{19F18940-E353-6187-A455-83D4E764F1F2}"/>
            </a:ext>
          </a:extLst>
        </xdr:cNvPr>
        <xdr:cNvSpPr txBox="1"/>
      </xdr:nvSpPr>
      <xdr:spPr>
        <a:xfrm>
          <a:off x="1210235" y="179294"/>
          <a:ext cx="6858000"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chemeClr val="tx2"/>
              </a:solidFill>
              <a:latin typeface="Arial Black" panose="020B0A04020102020204" pitchFamily="34" charset="0"/>
            </a:rPr>
            <a:t>HR Anslysis</a:t>
          </a:r>
          <a:r>
            <a:rPr lang="en-IN" sz="3600" b="1" baseline="0">
              <a:solidFill>
                <a:schemeClr val="tx2"/>
              </a:solidFill>
              <a:latin typeface="Arial Black" panose="020B0A04020102020204" pitchFamily="34" charset="0"/>
            </a:rPr>
            <a:t> DashBoard</a:t>
          </a:r>
          <a:endParaRPr lang="en-IN" sz="3600" b="1">
            <a:solidFill>
              <a:schemeClr val="tx2"/>
            </a:solidFill>
            <a:latin typeface="Arial Black" panose="020B0A04020102020204" pitchFamily="34" charset="0"/>
          </a:endParaRPr>
        </a:p>
      </xdr:txBody>
    </xdr:sp>
    <xdr:clientData/>
  </xdr:twoCellAnchor>
  <xdr:oneCellAnchor>
    <xdr:from>
      <xdr:col>13</xdr:col>
      <xdr:colOff>425824</xdr:colOff>
      <xdr:row>0</xdr:row>
      <xdr:rowOff>145676</xdr:rowOff>
    </xdr:from>
    <xdr:ext cx="720000" cy="720000"/>
    <xdr:pic>
      <xdr:nvPicPr>
        <xdr:cNvPr id="31" name="image3.png">
          <a:extLst>
            <a:ext uri="{FF2B5EF4-FFF2-40B4-BE49-F238E27FC236}">
              <a16:creationId xmlns:a16="http://schemas.microsoft.com/office/drawing/2014/main" id="{47086802-B571-48B2-B91A-20A3E9204F9E}"/>
            </a:ext>
          </a:extLst>
        </xdr:cNvPr>
        <xdr:cNvPicPr preferRelativeResize="0"/>
      </xdr:nvPicPr>
      <xdr:blipFill>
        <a:blip xmlns:r="http://schemas.openxmlformats.org/officeDocument/2006/relationships" r:embed="rId2" cstate="print"/>
        <a:stretch>
          <a:fillRect/>
        </a:stretch>
      </xdr:blipFill>
      <xdr:spPr>
        <a:xfrm>
          <a:off x="8875059" y="145676"/>
          <a:ext cx="720000" cy="720000"/>
        </a:xfrm>
        <a:prstGeom prst="rect">
          <a:avLst/>
        </a:prstGeom>
        <a:noFill/>
      </xdr:spPr>
    </xdr:pic>
    <xdr:clientData fLocksWithSheet="0"/>
  </xdr:oneCellAnchor>
  <xdr:twoCellAnchor>
    <xdr:from>
      <xdr:col>14</xdr:col>
      <xdr:colOff>526675</xdr:colOff>
      <xdr:row>0</xdr:row>
      <xdr:rowOff>67235</xdr:rowOff>
    </xdr:from>
    <xdr:to>
      <xdr:col>16</xdr:col>
      <xdr:colOff>593911</xdr:colOff>
      <xdr:row>4</xdr:row>
      <xdr:rowOff>168088</xdr:rowOff>
    </xdr:to>
    <xdr:sp macro="" textlink="">
      <xdr:nvSpPr>
        <xdr:cNvPr id="32" name="TextBox 31">
          <a:extLst>
            <a:ext uri="{FF2B5EF4-FFF2-40B4-BE49-F238E27FC236}">
              <a16:creationId xmlns:a16="http://schemas.microsoft.com/office/drawing/2014/main" id="{ABCD0899-BCE7-C484-6E3F-3D7D0161BDA3}"/>
            </a:ext>
          </a:extLst>
        </xdr:cNvPr>
        <xdr:cNvSpPr txBox="1"/>
      </xdr:nvSpPr>
      <xdr:spPr>
        <a:xfrm>
          <a:off x="9625851" y="67235"/>
          <a:ext cx="1367119" cy="86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50000"/>
                </a:schemeClr>
              </a:solidFill>
              <a:latin typeface="Arial Black" panose="020B0A04020102020204" pitchFamily="34" charset="0"/>
            </a:rPr>
            <a:t>Job</a:t>
          </a:r>
          <a:r>
            <a:rPr lang="en-IN" sz="1400" b="1" baseline="0">
              <a:solidFill>
                <a:schemeClr val="accent2">
                  <a:lumMod val="50000"/>
                </a:schemeClr>
              </a:solidFill>
              <a:latin typeface="Arial Black" panose="020B0A04020102020204" pitchFamily="34" charset="0"/>
            </a:rPr>
            <a:t> Satisfaction Rating</a:t>
          </a:r>
          <a:endParaRPr lang="en-IN" sz="1400" b="1">
            <a:solidFill>
              <a:schemeClr val="accent2">
                <a:lumMod val="50000"/>
              </a:schemeClr>
            </a:solidFill>
            <a:latin typeface="Arial Black" panose="020B0A04020102020204" pitchFamily="34" charset="0"/>
          </a:endParaRPr>
        </a:p>
      </xdr:txBody>
    </xdr:sp>
    <xdr:clientData/>
  </xdr:twoCellAnchor>
  <xdr:twoCellAnchor>
    <xdr:from>
      <xdr:col>0</xdr:col>
      <xdr:colOff>100851</xdr:colOff>
      <xdr:row>5</xdr:row>
      <xdr:rowOff>122145</xdr:rowOff>
    </xdr:from>
    <xdr:to>
      <xdr:col>4</xdr:col>
      <xdr:colOff>78439</xdr:colOff>
      <xdr:row>7</xdr:row>
      <xdr:rowOff>32498</xdr:rowOff>
    </xdr:to>
    <xdr:sp macro="" textlink="">
      <xdr:nvSpPr>
        <xdr:cNvPr id="33" name="TextBox 32">
          <a:extLst>
            <a:ext uri="{FF2B5EF4-FFF2-40B4-BE49-F238E27FC236}">
              <a16:creationId xmlns:a16="http://schemas.microsoft.com/office/drawing/2014/main" id="{380E13AE-1A29-20E0-1FCA-5D157806A7FC}"/>
            </a:ext>
          </a:extLst>
        </xdr:cNvPr>
        <xdr:cNvSpPr txBox="1"/>
      </xdr:nvSpPr>
      <xdr:spPr>
        <a:xfrm>
          <a:off x="100851"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Total Employees</a:t>
          </a:r>
        </a:p>
      </xdr:txBody>
    </xdr:sp>
    <xdr:clientData/>
  </xdr:twoCellAnchor>
  <xdr:twoCellAnchor>
    <xdr:from>
      <xdr:col>1</xdr:col>
      <xdr:colOff>118783</xdr:colOff>
      <xdr:row>7</xdr:row>
      <xdr:rowOff>78441</xdr:rowOff>
    </xdr:from>
    <xdr:to>
      <xdr:col>2</xdr:col>
      <xdr:colOff>638736</xdr:colOff>
      <xdr:row>10</xdr:row>
      <xdr:rowOff>22412</xdr:rowOff>
    </xdr:to>
    <xdr:sp macro="" textlink="Pivots!A5">
      <xdr:nvSpPr>
        <xdr:cNvPr id="35" name="TextBox 34">
          <a:extLst>
            <a:ext uri="{FF2B5EF4-FFF2-40B4-BE49-F238E27FC236}">
              <a16:creationId xmlns:a16="http://schemas.microsoft.com/office/drawing/2014/main" id="{3F9339CD-AB5E-4F22-92C3-104637A204DF}"/>
            </a:ext>
          </a:extLst>
        </xdr:cNvPr>
        <xdr:cNvSpPr txBox="1"/>
      </xdr:nvSpPr>
      <xdr:spPr>
        <a:xfrm>
          <a:off x="768724" y="141194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21F79-EAE1-4195-B26F-EC1E554C9B15}" type="TxLink">
            <a:rPr lang="en-US" sz="2800" b="1" i="0" u="none" strike="noStrike">
              <a:solidFill>
                <a:schemeClr val="accent1">
                  <a:lumMod val="75000"/>
                </a:schemeClr>
              </a:solidFill>
              <a:latin typeface="Arial Black" panose="020B0A04020102020204" pitchFamily="34" charset="0"/>
            </a:rPr>
            <a:pPr algn="ctr"/>
            <a:t>1470</a:t>
          </a:fld>
          <a:endParaRPr lang="en-IN" sz="2800" b="1">
            <a:solidFill>
              <a:schemeClr val="accent1">
                <a:lumMod val="75000"/>
              </a:schemeClr>
            </a:solidFill>
            <a:latin typeface="Arial Black" panose="020B0A04020102020204" pitchFamily="34" charset="0"/>
          </a:endParaRPr>
        </a:p>
      </xdr:txBody>
    </xdr:sp>
    <xdr:clientData/>
  </xdr:twoCellAnchor>
  <xdr:twoCellAnchor>
    <xdr:from>
      <xdr:col>4</xdr:col>
      <xdr:colOff>578222</xdr:colOff>
      <xdr:row>5</xdr:row>
      <xdr:rowOff>122145</xdr:rowOff>
    </xdr:from>
    <xdr:to>
      <xdr:col>8</xdr:col>
      <xdr:colOff>555811</xdr:colOff>
      <xdr:row>7</xdr:row>
      <xdr:rowOff>32498</xdr:rowOff>
    </xdr:to>
    <xdr:sp macro="" textlink="">
      <xdr:nvSpPr>
        <xdr:cNvPr id="38" name="TextBox 37">
          <a:extLst>
            <a:ext uri="{FF2B5EF4-FFF2-40B4-BE49-F238E27FC236}">
              <a16:creationId xmlns:a16="http://schemas.microsoft.com/office/drawing/2014/main" id="{269355AA-2686-4D99-B56F-411F81CE176A}"/>
            </a:ext>
          </a:extLst>
        </xdr:cNvPr>
        <xdr:cNvSpPr txBox="1"/>
      </xdr:nvSpPr>
      <xdr:spPr>
        <a:xfrm>
          <a:off x="3177987"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Count</a:t>
          </a:r>
        </a:p>
      </xdr:txBody>
    </xdr:sp>
    <xdr:clientData/>
  </xdr:twoCellAnchor>
  <xdr:twoCellAnchor>
    <xdr:from>
      <xdr:col>9</xdr:col>
      <xdr:colOff>136708</xdr:colOff>
      <xdr:row>5</xdr:row>
      <xdr:rowOff>122145</xdr:rowOff>
    </xdr:from>
    <xdr:to>
      <xdr:col>13</xdr:col>
      <xdr:colOff>114297</xdr:colOff>
      <xdr:row>7</xdr:row>
      <xdr:rowOff>32498</xdr:rowOff>
    </xdr:to>
    <xdr:sp macro="" textlink="">
      <xdr:nvSpPr>
        <xdr:cNvPr id="40" name="TextBox 39">
          <a:extLst>
            <a:ext uri="{FF2B5EF4-FFF2-40B4-BE49-F238E27FC236}">
              <a16:creationId xmlns:a16="http://schemas.microsoft.com/office/drawing/2014/main" id="{2BCB6A41-A7BE-4085-94C4-D62EB5E50FAB}"/>
            </a:ext>
          </a:extLst>
        </xdr:cNvPr>
        <xdr:cNvSpPr txBox="1"/>
      </xdr:nvSpPr>
      <xdr:spPr>
        <a:xfrm>
          <a:off x="5986179"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Active Employee</a:t>
          </a:r>
        </a:p>
      </xdr:txBody>
    </xdr:sp>
    <xdr:clientData/>
  </xdr:twoCellAnchor>
  <xdr:twoCellAnchor>
    <xdr:from>
      <xdr:col>10</xdr:col>
      <xdr:colOff>345142</xdr:colOff>
      <xdr:row>7</xdr:row>
      <xdr:rowOff>77321</xdr:rowOff>
    </xdr:from>
    <xdr:to>
      <xdr:col>12</xdr:col>
      <xdr:colOff>215154</xdr:colOff>
      <xdr:row>10</xdr:row>
      <xdr:rowOff>21292</xdr:rowOff>
    </xdr:to>
    <xdr:sp macro="" textlink="Pivots!D5">
      <xdr:nvSpPr>
        <xdr:cNvPr id="41" name="TextBox 40">
          <a:extLst>
            <a:ext uri="{FF2B5EF4-FFF2-40B4-BE49-F238E27FC236}">
              <a16:creationId xmlns:a16="http://schemas.microsoft.com/office/drawing/2014/main" id="{4AA1C9AB-8149-440A-A0E9-A35FEEADB157}"/>
            </a:ext>
          </a:extLst>
        </xdr:cNvPr>
        <xdr:cNvSpPr txBox="1"/>
      </xdr:nvSpPr>
      <xdr:spPr>
        <a:xfrm>
          <a:off x="684455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0E73FA-8A13-4B8E-B4EA-A7F9398FA3E0}" type="TxLink">
            <a:rPr lang="en-US" sz="2800" b="1" i="0" u="none" strike="noStrike">
              <a:solidFill>
                <a:schemeClr val="accent1">
                  <a:lumMod val="75000"/>
                </a:schemeClr>
              </a:solidFill>
              <a:latin typeface="Arial Black" panose="020B0A04020102020204" pitchFamily="34" charset="0"/>
              <a:ea typeface="+mn-ea"/>
              <a:cs typeface="+mn-cs"/>
            </a:rPr>
            <a:pPr marL="0" indent="0" algn="ctr"/>
            <a:t>1233</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13</xdr:col>
      <xdr:colOff>546846</xdr:colOff>
      <xdr:row>5</xdr:row>
      <xdr:rowOff>122145</xdr:rowOff>
    </xdr:from>
    <xdr:to>
      <xdr:col>17</xdr:col>
      <xdr:colOff>524434</xdr:colOff>
      <xdr:row>7</xdr:row>
      <xdr:rowOff>32498</xdr:rowOff>
    </xdr:to>
    <xdr:sp macro="" textlink="">
      <xdr:nvSpPr>
        <xdr:cNvPr id="42" name="TextBox 41">
          <a:extLst>
            <a:ext uri="{FF2B5EF4-FFF2-40B4-BE49-F238E27FC236}">
              <a16:creationId xmlns:a16="http://schemas.microsoft.com/office/drawing/2014/main" id="{F9BC76F9-8D55-4FED-A049-5137243A5F96}"/>
            </a:ext>
          </a:extLst>
        </xdr:cNvPr>
        <xdr:cNvSpPr txBox="1"/>
      </xdr:nvSpPr>
      <xdr:spPr>
        <a:xfrm>
          <a:off x="8996081"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Rate</a:t>
          </a:r>
        </a:p>
      </xdr:txBody>
    </xdr:sp>
    <xdr:clientData/>
  </xdr:twoCellAnchor>
  <xdr:twoCellAnchor>
    <xdr:from>
      <xdr:col>14</xdr:col>
      <xdr:colOff>123263</xdr:colOff>
      <xdr:row>7</xdr:row>
      <xdr:rowOff>77321</xdr:rowOff>
    </xdr:from>
    <xdr:to>
      <xdr:col>16</xdr:col>
      <xdr:colOff>582702</xdr:colOff>
      <xdr:row>10</xdr:row>
      <xdr:rowOff>21292</xdr:rowOff>
    </xdr:to>
    <xdr:sp macro="" textlink="Pivots!E5">
      <xdr:nvSpPr>
        <xdr:cNvPr id="43" name="TextBox 42">
          <a:extLst>
            <a:ext uri="{FF2B5EF4-FFF2-40B4-BE49-F238E27FC236}">
              <a16:creationId xmlns:a16="http://schemas.microsoft.com/office/drawing/2014/main" id="{123D4955-100D-49C2-BF19-50A99AAF2DCE}"/>
            </a:ext>
          </a:extLst>
        </xdr:cNvPr>
        <xdr:cNvSpPr txBox="1"/>
      </xdr:nvSpPr>
      <xdr:spPr>
        <a:xfrm>
          <a:off x="9222439" y="1410821"/>
          <a:ext cx="1759322"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59D137-3DF8-4E85-8ACD-F0A462103DE8}" type="TxLink">
            <a:rPr lang="en-US" sz="2800" b="1" i="0" u="none" strike="noStrike">
              <a:solidFill>
                <a:schemeClr val="accent1">
                  <a:lumMod val="75000"/>
                </a:schemeClr>
              </a:solidFill>
              <a:latin typeface="Arial Black" panose="020B0A04020102020204" pitchFamily="34" charset="0"/>
              <a:ea typeface="+mn-ea"/>
              <a:cs typeface="+mn-cs"/>
            </a:rPr>
            <a:pPr marL="0" indent="0" algn="ctr"/>
            <a:t>16.12%</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5</xdr:col>
      <xdr:colOff>349623</xdr:colOff>
      <xdr:row>7</xdr:row>
      <xdr:rowOff>77321</xdr:rowOff>
    </xdr:from>
    <xdr:to>
      <xdr:col>7</xdr:col>
      <xdr:colOff>219635</xdr:colOff>
      <xdr:row>10</xdr:row>
      <xdr:rowOff>21292</xdr:rowOff>
    </xdr:to>
    <xdr:sp macro="" textlink="Pivots!B5">
      <xdr:nvSpPr>
        <xdr:cNvPr id="47" name="TextBox 46">
          <a:extLst>
            <a:ext uri="{FF2B5EF4-FFF2-40B4-BE49-F238E27FC236}">
              <a16:creationId xmlns:a16="http://schemas.microsoft.com/office/drawing/2014/main" id="{765F2EEF-FF6E-4799-A534-F558A6855B83}"/>
            </a:ext>
          </a:extLst>
        </xdr:cNvPr>
        <xdr:cNvSpPr txBox="1"/>
      </xdr:nvSpPr>
      <xdr:spPr>
        <a:xfrm>
          <a:off x="3599329"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A5ECD7-4187-4F9C-B6B2-0075EF2D5C3F}" type="TxLink">
            <a:rPr lang="en-US" sz="2800" b="1" i="0" u="none" strike="noStrike">
              <a:solidFill>
                <a:schemeClr val="accent1">
                  <a:lumMod val="75000"/>
                </a:schemeClr>
              </a:solidFill>
              <a:latin typeface="Arial Black" panose="020B0A04020102020204" pitchFamily="34" charset="0"/>
              <a:ea typeface="+mn-ea"/>
              <a:cs typeface="+mn-cs"/>
            </a:rPr>
            <a:pPr marL="0" indent="0" algn="ctr"/>
            <a:t>237</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18</xdr:col>
      <xdr:colOff>295834</xdr:colOff>
      <xdr:row>5</xdr:row>
      <xdr:rowOff>122145</xdr:rowOff>
    </xdr:from>
    <xdr:to>
      <xdr:col>22</xdr:col>
      <xdr:colOff>273422</xdr:colOff>
      <xdr:row>7</xdr:row>
      <xdr:rowOff>32498</xdr:rowOff>
    </xdr:to>
    <xdr:sp macro="" textlink="">
      <xdr:nvSpPr>
        <xdr:cNvPr id="44" name="TextBox 43">
          <a:extLst>
            <a:ext uri="{FF2B5EF4-FFF2-40B4-BE49-F238E27FC236}">
              <a16:creationId xmlns:a16="http://schemas.microsoft.com/office/drawing/2014/main" id="{F62A6428-74BD-4EEF-9B7B-667AB5B19907}"/>
            </a:ext>
          </a:extLst>
        </xdr:cNvPr>
        <xdr:cNvSpPr txBox="1"/>
      </xdr:nvSpPr>
      <xdr:spPr>
        <a:xfrm>
          <a:off x="11994775" y="1074645"/>
          <a:ext cx="2577353"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Average Age</a:t>
          </a:r>
        </a:p>
      </xdr:txBody>
    </xdr:sp>
    <xdr:clientData/>
  </xdr:twoCellAnchor>
  <xdr:twoCellAnchor>
    <xdr:from>
      <xdr:col>19</xdr:col>
      <xdr:colOff>156882</xdr:colOff>
      <xdr:row>7</xdr:row>
      <xdr:rowOff>77321</xdr:rowOff>
    </xdr:from>
    <xdr:to>
      <xdr:col>21</xdr:col>
      <xdr:colOff>26893</xdr:colOff>
      <xdr:row>10</xdr:row>
      <xdr:rowOff>21292</xdr:rowOff>
    </xdr:to>
    <xdr:sp macro="" textlink="Pivots!C5">
      <xdr:nvSpPr>
        <xdr:cNvPr id="45" name="TextBox 44">
          <a:extLst>
            <a:ext uri="{FF2B5EF4-FFF2-40B4-BE49-F238E27FC236}">
              <a16:creationId xmlns:a16="http://schemas.microsoft.com/office/drawing/2014/main" id="{5B5AFE67-D2A3-4209-8D5B-AFC3543D2CC6}"/>
            </a:ext>
          </a:extLst>
        </xdr:cNvPr>
        <xdr:cNvSpPr txBox="1"/>
      </xdr:nvSpPr>
      <xdr:spPr>
        <a:xfrm>
          <a:off x="1250576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419A9-3D11-47A5-91B5-937A1006CDE1}" type="TxLink">
            <a:rPr lang="en-US" sz="2800" b="1" i="0" u="none" strike="noStrike">
              <a:solidFill>
                <a:schemeClr val="accent1">
                  <a:lumMod val="75000"/>
                </a:schemeClr>
              </a:solidFill>
              <a:latin typeface="Arial Black" panose="020B0A04020102020204" pitchFamily="34" charset="0"/>
              <a:ea typeface="+mn-ea"/>
              <a:cs typeface="+mn-cs"/>
            </a:rPr>
            <a:pPr marL="0" indent="0" algn="ctr"/>
            <a:t>37</a:t>
          </a:fld>
          <a:endParaRPr lang="en-IN" sz="2800" b="1" i="0" u="none" strike="noStrike">
            <a:solidFill>
              <a:schemeClr val="accent1">
                <a:lumMod val="75000"/>
              </a:schemeClr>
            </a:solidFill>
            <a:latin typeface="Arial Black" panose="020B0A04020102020204" pitchFamily="34" charset="0"/>
            <a:ea typeface="+mn-ea"/>
            <a:cs typeface="+mn-cs"/>
          </a:endParaRPr>
        </a:p>
      </xdr:txBody>
    </xdr:sp>
    <xdr:clientData/>
  </xdr:twoCellAnchor>
  <xdr:twoCellAnchor>
    <xdr:from>
      <xdr:col>1</xdr:col>
      <xdr:colOff>118783</xdr:colOff>
      <xdr:row>7</xdr:row>
      <xdr:rowOff>77321</xdr:rowOff>
    </xdr:from>
    <xdr:to>
      <xdr:col>2</xdr:col>
      <xdr:colOff>638736</xdr:colOff>
      <xdr:row>10</xdr:row>
      <xdr:rowOff>21292</xdr:rowOff>
    </xdr:to>
    <xdr:sp macro="" textlink="Pivots!A5">
      <xdr:nvSpPr>
        <xdr:cNvPr id="46" name="TextBox 45">
          <a:extLst>
            <a:ext uri="{FF2B5EF4-FFF2-40B4-BE49-F238E27FC236}">
              <a16:creationId xmlns:a16="http://schemas.microsoft.com/office/drawing/2014/main" id="{63942DE9-1F25-D06D-258F-D7CD02065B08}"/>
            </a:ext>
          </a:extLst>
        </xdr:cNvPr>
        <xdr:cNvSpPr txBox="1"/>
      </xdr:nvSpPr>
      <xdr:spPr>
        <a:xfrm>
          <a:off x="768724" y="1410821"/>
          <a:ext cx="1169894" cy="51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21F79-EAE1-4195-B26F-EC1E554C9B15}" type="TxLink">
            <a:rPr lang="en-US" sz="2800" b="1" i="0" u="none" strike="noStrike">
              <a:solidFill>
                <a:schemeClr val="accent1">
                  <a:lumMod val="75000"/>
                </a:schemeClr>
              </a:solidFill>
              <a:latin typeface="Arial Black" panose="020B0A04020102020204" pitchFamily="34" charset="0"/>
            </a:rPr>
            <a:pPr algn="ctr"/>
            <a:t>1470</a:t>
          </a:fld>
          <a:endParaRPr lang="en-IN" sz="2800" b="1">
            <a:solidFill>
              <a:schemeClr val="accent1">
                <a:lumMod val="75000"/>
              </a:schemeClr>
            </a:solidFill>
            <a:latin typeface="Arial Black" panose="020B0A04020102020204" pitchFamily="34" charset="0"/>
          </a:endParaRPr>
        </a:p>
      </xdr:txBody>
    </xdr:sp>
    <xdr:clientData/>
  </xdr:twoCellAnchor>
  <xdr:oneCellAnchor>
    <xdr:from>
      <xdr:col>3</xdr:col>
      <xdr:colOff>504264</xdr:colOff>
      <xdr:row>5</xdr:row>
      <xdr:rowOff>99732</xdr:rowOff>
    </xdr:from>
    <xdr:ext cx="360000" cy="360000"/>
    <xdr:pic>
      <xdr:nvPicPr>
        <xdr:cNvPr id="57" name="image4.png">
          <a:extLst>
            <a:ext uri="{FF2B5EF4-FFF2-40B4-BE49-F238E27FC236}">
              <a16:creationId xmlns:a16="http://schemas.microsoft.com/office/drawing/2014/main" id="{13028149-0B34-4C54-9A1F-CF28E0E9D393}"/>
            </a:ext>
          </a:extLst>
        </xdr:cNvPr>
        <xdr:cNvPicPr preferRelativeResize="0"/>
      </xdr:nvPicPr>
      <xdr:blipFill>
        <a:blip xmlns:r="http://schemas.openxmlformats.org/officeDocument/2006/relationships" r:embed="rId3" cstate="print"/>
        <a:stretch>
          <a:fillRect/>
        </a:stretch>
      </xdr:blipFill>
      <xdr:spPr>
        <a:xfrm>
          <a:off x="2454088" y="1052232"/>
          <a:ext cx="360000" cy="360000"/>
        </a:xfrm>
        <a:prstGeom prst="rect">
          <a:avLst/>
        </a:prstGeom>
        <a:noFill/>
      </xdr:spPr>
    </xdr:pic>
    <xdr:clientData fLocksWithSheet="0"/>
  </xdr:oneCellAnchor>
  <xdr:oneCellAnchor>
    <xdr:from>
      <xdr:col>12</xdr:col>
      <xdr:colOff>539003</xdr:colOff>
      <xdr:row>5</xdr:row>
      <xdr:rowOff>99732</xdr:rowOff>
    </xdr:from>
    <xdr:ext cx="360000" cy="360000"/>
    <xdr:pic>
      <xdr:nvPicPr>
        <xdr:cNvPr id="58" name="image5.png">
          <a:extLst>
            <a:ext uri="{FF2B5EF4-FFF2-40B4-BE49-F238E27FC236}">
              <a16:creationId xmlns:a16="http://schemas.microsoft.com/office/drawing/2014/main" id="{617E3806-601F-426E-A27D-59AE3E57C78F}"/>
            </a:ext>
          </a:extLst>
        </xdr:cNvPr>
        <xdr:cNvPicPr preferRelativeResize="0"/>
      </xdr:nvPicPr>
      <xdr:blipFill>
        <a:blip xmlns:r="http://schemas.openxmlformats.org/officeDocument/2006/relationships" r:embed="rId4" cstate="print"/>
        <a:stretch>
          <a:fillRect/>
        </a:stretch>
      </xdr:blipFill>
      <xdr:spPr>
        <a:xfrm>
          <a:off x="8338297" y="1052232"/>
          <a:ext cx="360000" cy="360000"/>
        </a:xfrm>
        <a:prstGeom prst="rect">
          <a:avLst/>
        </a:prstGeom>
        <a:noFill/>
      </xdr:spPr>
    </xdr:pic>
    <xdr:clientData fLocksWithSheet="0"/>
  </xdr:oneCellAnchor>
  <xdr:oneCellAnchor>
    <xdr:from>
      <xdr:col>17</xdr:col>
      <xdr:colOff>234201</xdr:colOff>
      <xdr:row>5</xdr:row>
      <xdr:rowOff>99732</xdr:rowOff>
    </xdr:from>
    <xdr:ext cx="360000" cy="360000"/>
    <xdr:pic>
      <xdr:nvPicPr>
        <xdr:cNvPr id="59" name="image2.png">
          <a:extLst>
            <a:ext uri="{FF2B5EF4-FFF2-40B4-BE49-F238E27FC236}">
              <a16:creationId xmlns:a16="http://schemas.microsoft.com/office/drawing/2014/main" id="{F5939E8B-3609-4FEC-B5F6-9B9DC651FFB2}"/>
            </a:ext>
          </a:extLst>
        </xdr:cNvPr>
        <xdr:cNvPicPr preferRelativeResize="0"/>
      </xdr:nvPicPr>
      <xdr:blipFill>
        <a:blip xmlns:r="http://schemas.openxmlformats.org/officeDocument/2006/relationships" r:embed="rId5" cstate="print"/>
        <a:stretch>
          <a:fillRect/>
        </a:stretch>
      </xdr:blipFill>
      <xdr:spPr>
        <a:xfrm>
          <a:off x="11283201" y="1052232"/>
          <a:ext cx="360000" cy="360000"/>
        </a:xfrm>
        <a:prstGeom prst="rect">
          <a:avLst/>
        </a:prstGeom>
        <a:noFill/>
      </xdr:spPr>
    </xdr:pic>
    <xdr:clientData fLocksWithSheet="0"/>
  </xdr:oneCellAnchor>
  <xdr:oneCellAnchor>
    <xdr:from>
      <xdr:col>21</xdr:col>
      <xdr:colOff>557491</xdr:colOff>
      <xdr:row>5</xdr:row>
      <xdr:rowOff>99732</xdr:rowOff>
    </xdr:from>
    <xdr:ext cx="360000" cy="360000"/>
    <xdr:pic>
      <xdr:nvPicPr>
        <xdr:cNvPr id="60" name="image6.png">
          <a:extLst>
            <a:ext uri="{FF2B5EF4-FFF2-40B4-BE49-F238E27FC236}">
              <a16:creationId xmlns:a16="http://schemas.microsoft.com/office/drawing/2014/main" id="{28B0C7EA-CE00-4393-BAB3-76C4168C208E}"/>
            </a:ext>
          </a:extLst>
        </xdr:cNvPr>
        <xdr:cNvPicPr preferRelativeResize="0"/>
      </xdr:nvPicPr>
      <xdr:blipFill>
        <a:blip xmlns:r="http://schemas.openxmlformats.org/officeDocument/2006/relationships" r:embed="rId6" cstate="print"/>
        <a:stretch>
          <a:fillRect/>
        </a:stretch>
      </xdr:blipFill>
      <xdr:spPr>
        <a:xfrm>
          <a:off x="14206256" y="1052232"/>
          <a:ext cx="360000" cy="360000"/>
        </a:xfrm>
        <a:prstGeom prst="rect">
          <a:avLst/>
        </a:prstGeom>
        <a:noFill/>
      </xdr:spPr>
    </xdr:pic>
    <xdr:clientData fLocksWithSheet="0"/>
  </xdr:oneCellAnchor>
  <xdr:oneCellAnchor>
    <xdr:from>
      <xdr:col>8</xdr:col>
      <xdr:colOff>211231</xdr:colOff>
      <xdr:row>5</xdr:row>
      <xdr:rowOff>99732</xdr:rowOff>
    </xdr:from>
    <xdr:ext cx="360000" cy="360000"/>
    <xdr:pic>
      <xdr:nvPicPr>
        <xdr:cNvPr id="61" name="image7.png">
          <a:extLst>
            <a:ext uri="{FF2B5EF4-FFF2-40B4-BE49-F238E27FC236}">
              <a16:creationId xmlns:a16="http://schemas.microsoft.com/office/drawing/2014/main" id="{8B990CDD-2CE7-4255-AB59-5C77EF771431}"/>
            </a:ext>
          </a:extLst>
        </xdr:cNvPr>
        <xdr:cNvPicPr preferRelativeResize="0"/>
      </xdr:nvPicPr>
      <xdr:blipFill>
        <a:blip xmlns:r="http://schemas.openxmlformats.org/officeDocument/2006/relationships" r:embed="rId7" cstate="print"/>
        <a:stretch>
          <a:fillRect/>
        </a:stretch>
      </xdr:blipFill>
      <xdr:spPr>
        <a:xfrm>
          <a:off x="5410760" y="1052232"/>
          <a:ext cx="360000" cy="360000"/>
        </a:xfrm>
        <a:prstGeom prst="rect">
          <a:avLst/>
        </a:prstGeom>
        <a:noFill/>
      </xdr:spPr>
    </xdr:pic>
    <xdr:clientData fLocksWithSheet="0"/>
  </xdr:oneCellAnchor>
  <xdr:twoCellAnchor>
    <xdr:from>
      <xdr:col>16</xdr:col>
      <xdr:colOff>515471</xdr:colOff>
      <xdr:row>0</xdr:row>
      <xdr:rowOff>0</xdr:rowOff>
    </xdr:from>
    <xdr:to>
      <xdr:col>18</xdr:col>
      <xdr:colOff>235324</xdr:colOff>
      <xdr:row>5</xdr:row>
      <xdr:rowOff>44824</xdr:rowOff>
    </xdr:to>
    <xdr:graphicFrame macro="">
      <xdr:nvGraphicFramePr>
        <xdr:cNvPr id="62" name="Chart 61">
          <a:extLst>
            <a:ext uri="{FF2B5EF4-FFF2-40B4-BE49-F238E27FC236}">
              <a16:creationId xmlns:a16="http://schemas.microsoft.com/office/drawing/2014/main" id="{E7FD4D06-7E3D-416A-8531-F40E812E6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11205</xdr:colOff>
      <xdr:row>16</xdr:row>
      <xdr:rowOff>186838</xdr:rowOff>
    </xdr:from>
    <xdr:to>
      <xdr:col>2</xdr:col>
      <xdr:colOff>151323</xdr:colOff>
      <xdr:row>24</xdr:row>
      <xdr:rowOff>102838</xdr:rowOff>
    </xdr:to>
    <xdr:graphicFrame macro="">
      <xdr:nvGraphicFramePr>
        <xdr:cNvPr id="73" name="Chart 72">
          <a:extLst>
            <a:ext uri="{FF2B5EF4-FFF2-40B4-BE49-F238E27FC236}">
              <a16:creationId xmlns:a16="http://schemas.microsoft.com/office/drawing/2014/main" id="{3CC03DF3-8A03-4783-AE75-0806167D1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403412</xdr:colOff>
      <xdr:row>0</xdr:row>
      <xdr:rowOff>112058</xdr:rowOff>
    </xdr:from>
    <xdr:to>
      <xdr:col>22</xdr:col>
      <xdr:colOff>287647</xdr:colOff>
      <xdr:row>4</xdr:row>
      <xdr:rowOff>70058</xdr:rowOff>
    </xdr:to>
    <xdr:graphicFrame macro="">
      <xdr:nvGraphicFramePr>
        <xdr:cNvPr id="63" name="Chart 62">
          <a:extLst>
            <a:ext uri="{FF2B5EF4-FFF2-40B4-BE49-F238E27FC236}">
              <a16:creationId xmlns:a16="http://schemas.microsoft.com/office/drawing/2014/main" id="{F6EE4CA9-F861-43F7-9916-D8195B55B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537879</xdr:colOff>
      <xdr:row>1</xdr:row>
      <xdr:rowOff>56028</xdr:rowOff>
    </xdr:from>
    <xdr:to>
      <xdr:col>22</xdr:col>
      <xdr:colOff>170114</xdr:colOff>
      <xdr:row>3</xdr:row>
      <xdr:rowOff>143028</xdr:rowOff>
    </xdr:to>
    <xdr:sp macro="" textlink="">
      <xdr:nvSpPr>
        <xdr:cNvPr id="64" name="Freeform: Shape 63">
          <a:extLst>
            <a:ext uri="{FF2B5EF4-FFF2-40B4-BE49-F238E27FC236}">
              <a16:creationId xmlns:a16="http://schemas.microsoft.com/office/drawing/2014/main" id="{A4E31706-A369-C77C-D33F-99399DF28733}"/>
            </a:ext>
          </a:extLst>
        </xdr:cNvPr>
        <xdr:cNvSpPr/>
      </xdr:nvSpPr>
      <xdr:spPr>
        <a:xfrm>
          <a:off x="12236820" y="246528"/>
          <a:ext cx="2232000" cy="468000"/>
        </a:xfrm>
        <a:custGeom>
          <a:avLst/>
          <a:gdLst>
            <a:gd name="connsiteX0" fmla="*/ 1676500 w 1892500"/>
            <a:gd name="connsiteY0" fmla="*/ 0 h 432000"/>
            <a:gd name="connsiteX1" fmla="*/ 1892500 w 1892500"/>
            <a:gd name="connsiteY1" fmla="*/ 0 h 432000"/>
            <a:gd name="connsiteX2" fmla="*/ 1892500 w 1892500"/>
            <a:gd name="connsiteY2" fmla="*/ 165009 h 432000"/>
            <a:gd name="connsiteX3" fmla="*/ 1727490 w 1892500"/>
            <a:gd name="connsiteY3" fmla="*/ 165010 h 432000"/>
            <a:gd name="connsiteX4" fmla="*/ 216000 w 1892500"/>
            <a:gd name="connsiteY4" fmla="*/ 0 h 432000"/>
            <a:gd name="connsiteX5" fmla="*/ 702833 w 1892500"/>
            <a:gd name="connsiteY5" fmla="*/ 0 h 432000"/>
            <a:gd name="connsiteX6" fmla="*/ 651843 w 1892500"/>
            <a:gd name="connsiteY6" fmla="*/ 165010 h 432000"/>
            <a:gd name="connsiteX7" fmla="*/ 486833 w 1892500"/>
            <a:gd name="connsiteY7" fmla="*/ 165009 h 432000"/>
            <a:gd name="connsiteX8" fmla="*/ 620330 w 1892500"/>
            <a:gd name="connsiteY8" fmla="*/ 266990 h 432000"/>
            <a:gd name="connsiteX9" fmla="*/ 569338 w 1892500"/>
            <a:gd name="connsiteY9" fmla="*/ 431999 h 432000"/>
            <a:gd name="connsiteX10" fmla="*/ 702833 w 1892500"/>
            <a:gd name="connsiteY10" fmla="*/ 330016 h 432000"/>
            <a:gd name="connsiteX11" fmla="*/ 836328 w 1892500"/>
            <a:gd name="connsiteY11" fmla="*/ 431999 h 432000"/>
            <a:gd name="connsiteX12" fmla="*/ 785336 w 1892500"/>
            <a:gd name="connsiteY12" fmla="*/ 266990 h 432000"/>
            <a:gd name="connsiteX13" fmla="*/ 918833 w 1892500"/>
            <a:gd name="connsiteY13" fmla="*/ 165009 h 432000"/>
            <a:gd name="connsiteX14" fmla="*/ 753823 w 1892500"/>
            <a:gd name="connsiteY14" fmla="*/ 165010 h 432000"/>
            <a:gd name="connsiteX15" fmla="*/ 702833 w 1892500"/>
            <a:gd name="connsiteY15" fmla="*/ 0 h 432000"/>
            <a:gd name="connsiteX16" fmla="*/ 1189666 w 1892500"/>
            <a:gd name="connsiteY16" fmla="*/ 0 h 432000"/>
            <a:gd name="connsiteX17" fmla="*/ 1138676 w 1892500"/>
            <a:gd name="connsiteY17" fmla="*/ 165010 h 432000"/>
            <a:gd name="connsiteX18" fmla="*/ 973666 w 1892500"/>
            <a:gd name="connsiteY18" fmla="*/ 165009 h 432000"/>
            <a:gd name="connsiteX19" fmla="*/ 1107163 w 1892500"/>
            <a:gd name="connsiteY19" fmla="*/ 266990 h 432000"/>
            <a:gd name="connsiteX20" fmla="*/ 1056171 w 1892500"/>
            <a:gd name="connsiteY20" fmla="*/ 431999 h 432000"/>
            <a:gd name="connsiteX21" fmla="*/ 1189666 w 1892500"/>
            <a:gd name="connsiteY21" fmla="*/ 330016 h 432000"/>
            <a:gd name="connsiteX22" fmla="*/ 1323161 w 1892500"/>
            <a:gd name="connsiteY22" fmla="*/ 431999 h 432000"/>
            <a:gd name="connsiteX23" fmla="*/ 1272169 w 1892500"/>
            <a:gd name="connsiteY23" fmla="*/ 266990 h 432000"/>
            <a:gd name="connsiteX24" fmla="*/ 1405666 w 1892500"/>
            <a:gd name="connsiteY24" fmla="*/ 165009 h 432000"/>
            <a:gd name="connsiteX25" fmla="*/ 1240656 w 1892500"/>
            <a:gd name="connsiteY25" fmla="*/ 165010 h 432000"/>
            <a:gd name="connsiteX26" fmla="*/ 1189666 w 1892500"/>
            <a:gd name="connsiteY26" fmla="*/ 0 h 432000"/>
            <a:gd name="connsiteX27" fmla="*/ 1676500 w 1892500"/>
            <a:gd name="connsiteY27" fmla="*/ 0 h 432000"/>
            <a:gd name="connsiteX28" fmla="*/ 1625510 w 1892500"/>
            <a:gd name="connsiteY28" fmla="*/ 165010 h 432000"/>
            <a:gd name="connsiteX29" fmla="*/ 1460500 w 1892500"/>
            <a:gd name="connsiteY29" fmla="*/ 165009 h 432000"/>
            <a:gd name="connsiteX30" fmla="*/ 1593997 w 1892500"/>
            <a:gd name="connsiteY30" fmla="*/ 266990 h 432000"/>
            <a:gd name="connsiteX31" fmla="*/ 1543005 w 1892500"/>
            <a:gd name="connsiteY31" fmla="*/ 431999 h 432000"/>
            <a:gd name="connsiteX32" fmla="*/ 1676500 w 1892500"/>
            <a:gd name="connsiteY32" fmla="*/ 330016 h 432000"/>
            <a:gd name="connsiteX33" fmla="*/ 1809995 w 1892500"/>
            <a:gd name="connsiteY33" fmla="*/ 431999 h 432000"/>
            <a:gd name="connsiteX34" fmla="*/ 1759003 w 1892500"/>
            <a:gd name="connsiteY34" fmla="*/ 266990 h 432000"/>
            <a:gd name="connsiteX35" fmla="*/ 1892500 w 1892500"/>
            <a:gd name="connsiteY35" fmla="*/ 165009 h 432000"/>
            <a:gd name="connsiteX36" fmla="*/ 1892500 w 1892500"/>
            <a:gd name="connsiteY36" fmla="*/ 432000 h 432000"/>
            <a:gd name="connsiteX37" fmla="*/ 0 w 1892500"/>
            <a:gd name="connsiteY37" fmla="*/ 432000 h 432000"/>
            <a:gd name="connsiteX38" fmla="*/ 0 w 1892500"/>
            <a:gd name="connsiteY38" fmla="*/ 165009 h 432000"/>
            <a:gd name="connsiteX39" fmla="*/ 133497 w 1892500"/>
            <a:gd name="connsiteY39" fmla="*/ 266990 h 432000"/>
            <a:gd name="connsiteX40" fmla="*/ 82505 w 1892500"/>
            <a:gd name="connsiteY40" fmla="*/ 431999 h 432000"/>
            <a:gd name="connsiteX41" fmla="*/ 216000 w 1892500"/>
            <a:gd name="connsiteY41" fmla="*/ 330016 h 432000"/>
            <a:gd name="connsiteX42" fmla="*/ 349495 w 1892500"/>
            <a:gd name="connsiteY42" fmla="*/ 431999 h 432000"/>
            <a:gd name="connsiteX43" fmla="*/ 298503 w 1892500"/>
            <a:gd name="connsiteY43" fmla="*/ 266990 h 432000"/>
            <a:gd name="connsiteX44" fmla="*/ 432000 w 1892500"/>
            <a:gd name="connsiteY44" fmla="*/ 165009 h 432000"/>
            <a:gd name="connsiteX45" fmla="*/ 266990 w 1892500"/>
            <a:gd name="connsiteY45" fmla="*/ 165010 h 432000"/>
            <a:gd name="connsiteX46" fmla="*/ 0 w 1892500"/>
            <a:gd name="connsiteY46" fmla="*/ 0 h 432000"/>
            <a:gd name="connsiteX47" fmla="*/ 216000 w 1892500"/>
            <a:gd name="connsiteY47" fmla="*/ 0 h 432000"/>
            <a:gd name="connsiteX48" fmla="*/ 165010 w 1892500"/>
            <a:gd name="connsiteY48" fmla="*/ 165010 h 432000"/>
            <a:gd name="connsiteX49" fmla="*/ 0 w 1892500"/>
            <a:gd name="connsiteY49" fmla="*/ 165009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892500" h="432000">
              <a:moveTo>
                <a:pt x="1676500" y="0"/>
              </a:moveTo>
              <a:lnTo>
                <a:pt x="1892500" y="0"/>
              </a:lnTo>
              <a:lnTo>
                <a:pt x="1892500" y="165009"/>
              </a:lnTo>
              <a:lnTo>
                <a:pt x="1727490" y="165010"/>
              </a:lnTo>
              <a:close/>
              <a:moveTo>
                <a:pt x="216000" y="0"/>
              </a:moveTo>
              <a:lnTo>
                <a:pt x="702833" y="0"/>
              </a:lnTo>
              <a:lnTo>
                <a:pt x="651843" y="165010"/>
              </a:lnTo>
              <a:lnTo>
                <a:pt x="486833" y="165009"/>
              </a:lnTo>
              <a:lnTo>
                <a:pt x="620330" y="266990"/>
              </a:lnTo>
              <a:lnTo>
                <a:pt x="569338" y="431999"/>
              </a:lnTo>
              <a:lnTo>
                <a:pt x="702833" y="330016"/>
              </a:lnTo>
              <a:lnTo>
                <a:pt x="836328" y="431999"/>
              </a:lnTo>
              <a:lnTo>
                <a:pt x="785336" y="266990"/>
              </a:lnTo>
              <a:lnTo>
                <a:pt x="918833" y="165009"/>
              </a:lnTo>
              <a:lnTo>
                <a:pt x="753823" y="165010"/>
              </a:lnTo>
              <a:lnTo>
                <a:pt x="702833" y="0"/>
              </a:lnTo>
              <a:lnTo>
                <a:pt x="1189666" y="0"/>
              </a:lnTo>
              <a:lnTo>
                <a:pt x="1138676" y="165010"/>
              </a:lnTo>
              <a:lnTo>
                <a:pt x="973666" y="165009"/>
              </a:lnTo>
              <a:lnTo>
                <a:pt x="1107163" y="266990"/>
              </a:lnTo>
              <a:lnTo>
                <a:pt x="1056171" y="431999"/>
              </a:lnTo>
              <a:lnTo>
                <a:pt x="1189666" y="330016"/>
              </a:lnTo>
              <a:lnTo>
                <a:pt x="1323161" y="431999"/>
              </a:lnTo>
              <a:lnTo>
                <a:pt x="1272169" y="266990"/>
              </a:lnTo>
              <a:lnTo>
                <a:pt x="1405666" y="165009"/>
              </a:lnTo>
              <a:lnTo>
                <a:pt x="1240656" y="165010"/>
              </a:lnTo>
              <a:lnTo>
                <a:pt x="1189666" y="0"/>
              </a:lnTo>
              <a:lnTo>
                <a:pt x="1676500" y="0"/>
              </a:lnTo>
              <a:lnTo>
                <a:pt x="1625510" y="165010"/>
              </a:lnTo>
              <a:lnTo>
                <a:pt x="1460500" y="165009"/>
              </a:lnTo>
              <a:lnTo>
                <a:pt x="1593997" y="266990"/>
              </a:lnTo>
              <a:lnTo>
                <a:pt x="1543005" y="431999"/>
              </a:lnTo>
              <a:lnTo>
                <a:pt x="1676500" y="330016"/>
              </a:lnTo>
              <a:lnTo>
                <a:pt x="1809995" y="431999"/>
              </a:lnTo>
              <a:lnTo>
                <a:pt x="1759003" y="266990"/>
              </a:lnTo>
              <a:lnTo>
                <a:pt x="1892500" y="165009"/>
              </a:lnTo>
              <a:lnTo>
                <a:pt x="1892500" y="432000"/>
              </a:lnTo>
              <a:lnTo>
                <a:pt x="0" y="432000"/>
              </a:lnTo>
              <a:lnTo>
                <a:pt x="0" y="165009"/>
              </a:lnTo>
              <a:lnTo>
                <a:pt x="133497" y="266990"/>
              </a:lnTo>
              <a:lnTo>
                <a:pt x="82505" y="431999"/>
              </a:lnTo>
              <a:lnTo>
                <a:pt x="216000" y="330016"/>
              </a:lnTo>
              <a:lnTo>
                <a:pt x="349495" y="431999"/>
              </a:lnTo>
              <a:lnTo>
                <a:pt x="298503" y="266990"/>
              </a:lnTo>
              <a:lnTo>
                <a:pt x="432000" y="165009"/>
              </a:lnTo>
              <a:lnTo>
                <a:pt x="266990" y="165010"/>
              </a:lnTo>
              <a:close/>
              <a:moveTo>
                <a:pt x="0" y="0"/>
              </a:moveTo>
              <a:lnTo>
                <a:pt x="216000" y="0"/>
              </a:lnTo>
              <a:lnTo>
                <a:pt x="165010" y="165010"/>
              </a:lnTo>
              <a:lnTo>
                <a:pt x="0" y="165009"/>
              </a:lnTo>
              <a:close/>
            </a:path>
          </a:pathLst>
        </a:cu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392205</xdr:colOff>
      <xdr:row>16</xdr:row>
      <xdr:rowOff>186838</xdr:rowOff>
    </xdr:from>
    <xdr:to>
      <xdr:col>6</xdr:col>
      <xdr:colOff>532323</xdr:colOff>
      <xdr:row>24</xdr:row>
      <xdr:rowOff>102838</xdr:rowOff>
    </xdr:to>
    <xdr:graphicFrame macro="">
      <xdr:nvGraphicFramePr>
        <xdr:cNvPr id="66" name="Chart 65">
          <a:extLst>
            <a:ext uri="{FF2B5EF4-FFF2-40B4-BE49-F238E27FC236}">
              <a16:creationId xmlns:a16="http://schemas.microsoft.com/office/drawing/2014/main" id="{A1CDED70-D3A8-48C5-A8C4-8A0B1462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515470</xdr:colOff>
      <xdr:row>18</xdr:row>
      <xdr:rowOff>41382</xdr:rowOff>
    </xdr:from>
    <xdr:to>
      <xdr:col>4</xdr:col>
      <xdr:colOff>585529</xdr:colOff>
      <xdr:row>21</xdr:row>
      <xdr:rowOff>189882</xdr:rowOff>
    </xdr:to>
    <xdr:pic>
      <xdr:nvPicPr>
        <xdr:cNvPr id="68" name="Graphic 67" descr="Male profile with solid fill">
          <a:extLst>
            <a:ext uri="{FF2B5EF4-FFF2-40B4-BE49-F238E27FC236}">
              <a16:creationId xmlns:a16="http://schemas.microsoft.com/office/drawing/2014/main" id="{F107C6F4-B0EA-3B67-651A-66B718E4480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65294" y="3470382"/>
          <a:ext cx="720000" cy="720000"/>
        </a:xfrm>
        <a:prstGeom prst="rect">
          <a:avLst/>
        </a:prstGeom>
      </xdr:spPr>
    </xdr:pic>
    <xdr:clientData/>
  </xdr:twoCellAnchor>
  <xdr:twoCellAnchor editAs="oneCell">
    <xdr:from>
      <xdr:col>1</xdr:col>
      <xdr:colOff>587028</xdr:colOff>
      <xdr:row>18</xdr:row>
      <xdr:rowOff>41382</xdr:rowOff>
    </xdr:from>
    <xdr:to>
      <xdr:col>3</xdr:col>
      <xdr:colOff>7145</xdr:colOff>
      <xdr:row>21</xdr:row>
      <xdr:rowOff>189882</xdr:rowOff>
    </xdr:to>
    <xdr:pic>
      <xdr:nvPicPr>
        <xdr:cNvPr id="70" name="Graphic 69" descr="Female Profile with solid fill">
          <a:extLst>
            <a:ext uri="{FF2B5EF4-FFF2-40B4-BE49-F238E27FC236}">
              <a16:creationId xmlns:a16="http://schemas.microsoft.com/office/drawing/2014/main" id="{75FD650A-B027-D66F-9F9E-29525DFEEC3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36969" y="3470382"/>
          <a:ext cx="720000" cy="720000"/>
        </a:xfrm>
        <a:prstGeom prst="rect">
          <a:avLst/>
        </a:prstGeom>
      </xdr:spPr>
    </xdr:pic>
    <xdr:clientData/>
  </xdr:twoCellAnchor>
  <xdr:twoCellAnchor>
    <xdr:from>
      <xdr:col>0</xdr:col>
      <xdr:colOff>380999</xdr:colOff>
      <xdr:row>19</xdr:row>
      <xdr:rowOff>78440</xdr:rowOff>
    </xdr:from>
    <xdr:to>
      <xdr:col>1</xdr:col>
      <xdr:colOff>425824</xdr:colOff>
      <xdr:row>21</xdr:row>
      <xdr:rowOff>179293</xdr:rowOff>
    </xdr:to>
    <xdr:sp macro="" textlink="Pivots!$B$18">
      <xdr:nvSpPr>
        <xdr:cNvPr id="71" name="TextBox 1">
          <a:extLst>
            <a:ext uri="{FF2B5EF4-FFF2-40B4-BE49-F238E27FC236}">
              <a16:creationId xmlns:a16="http://schemas.microsoft.com/office/drawing/2014/main" id="{6962369A-0605-8E06-2B54-2BA35D6E1FEF}"/>
            </a:ext>
          </a:extLst>
        </xdr:cNvPr>
        <xdr:cNvSpPr txBox="1"/>
      </xdr:nvSpPr>
      <xdr:spPr>
        <a:xfrm>
          <a:off x="380999" y="3697940"/>
          <a:ext cx="694766" cy="481853"/>
        </a:xfrm>
        <a:prstGeom prst="rect">
          <a:avLst/>
        </a:prstGeom>
        <a:noFill/>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E0AC41C6-2945-487C-B005-E4E5FE031817}" type="TxLink">
            <a:rPr lang="en-US" sz="2000" b="1" i="0" u="none" strike="noStrike">
              <a:solidFill>
                <a:schemeClr val="accent1">
                  <a:lumMod val="50000"/>
                </a:schemeClr>
              </a:solidFill>
              <a:latin typeface="Arial Black" panose="020B0A04020102020204" pitchFamily="34" charset="0"/>
            </a:rPr>
            <a:pPr algn="ctr"/>
            <a:t>588</a:t>
          </a:fld>
          <a:endParaRPr lang="en-IN" sz="2000" b="1">
            <a:solidFill>
              <a:schemeClr val="accent1">
                <a:lumMod val="50000"/>
              </a:schemeClr>
            </a:solidFill>
            <a:latin typeface="Arial Black" panose="020B0A04020102020204" pitchFamily="34" charset="0"/>
          </a:endParaRPr>
        </a:p>
      </xdr:txBody>
    </xdr:sp>
    <xdr:clientData/>
  </xdr:twoCellAnchor>
  <xdr:twoCellAnchor editAs="oneCell">
    <xdr:from>
      <xdr:col>2</xdr:col>
      <xdr:colOff>22413</xdr:colOff>
      <xdr:row>14</xdr:row>
      <xdr:rowOff>89645</xdr:rowOff>
    </xdr:from>
    <xdr:to>
      <xdr:col>4</xdr:col>
      <xdr:colOff>551330</xdr:colOff>
      <xdr:row>17</xdr:row>
      <xdr:rowOff>179292</xdr:rowOff>
    </xdr:to>
    <mc:AlternateContent xmlns:mc="http://schemas.openxmlformats.org/markup-compatibility/2006" xmlns:a14="http://schemas.microsoft.com/office/drawing/2010/main">
      <mc:Choice Requires="a14">
        <xdr:graphicFrame macro="">
          <xdr:nvGraphicFramePr>
            <xdr:cNvPr id="72" name="Gender 1">
              <a:extLst>
                <a:ext uri="{FF2B5EF4-FFF2-40B4-BE49-F238E27FC236}">
                  <a16:creationId xmlns:a16="http://schemas.microsoft.com/office/drawing/2014/main" id="{AFDAFDE8-51DC-49DA-B58D-0F6890F2A4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28699" y="2756645"/>
              <a:ext cx="1835202" cy="661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324971</xdr:colOff>
      <xdr:row>10</xdr:row>
      <xdr:rowOff>145675</xdr:rowOff>
    </xdr:from>
    <xdr:to>
      <xdr:col>4</xdr:col>
      <xdr:colOff>212912</xdr:colOff>
      <xdr:row>12</xdr:row>
      <xdr:rowOff>44823</xdr:rowOff>
    </xdr:to>
    <xdr:sp macro="" textlink="">
      <xdr:nvSpPr>
        <xdr:cNvPr id="74" name="TextBox 73">
          <a:extLst>
            <a:ext uri="{FF2B5EF4-FFF2-40B4-BE49-F238E27FC236}">
              <a16:creationId xmlns:a16="http://schemas.microsoft.com/office/drawing/2014/main" id="{5519F4E7-1648-9068-9E64-7C1C633355A2}"/>
            </a:ext>
          </a:extLst>
        </xdr:cNvPr>
        <xdr:cNvSpPr txBox="1"/>
      </xdr:nvSpPr>
      <xdr:spPr>
        <a:xfrm>
          <a:off x="324971" y="2050675"/>
          <a:ext cx="2487706" cy="280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Total Employee by Gender</a:t>
          </a:r>
        </a:p>
      </xdr:txBody>
    </xdr:sp>
    <xdr:clientData/>
  </xdr:twoCellAnchor>
  <xdr:twoCellAnchor>
    <xdr:from>
      <xdr:col>6</xdr:col>
      <xdr:colOff>560292</xdr:colOff>
      <xdr:row>11</xdr:row>
      <xdr:rowOff>190498</xdr:rowOff>
    </xdr:from>
    <xdr:to>
      <xdr:col>15</xdr:col>
      <xdr:colOff>56028</xdr:colOff>
      <xdr:row>24</xdr:row>
      <xdr:rowOff>145675</xdr:rowOff>
    </xdr:to>
    <xdr:graphicFrame macro="">
      <xdr:nvGraphicFramePr>
        <xdr:cNvPr id="75" name="Chart 74">
          <a:extLst>
            <a:ext uri="{FF2B5EF4-FFF2-40B4-BE49-F238E27FC236}">
              <a16:creationId xmlns:a16="http://schemas.microsoft.com/office/drawing/2014/main" id="{4C52FB6F-C13A-421F-B53E-63FB3D50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163606</xdr:colOff>
      <xdr:row>10</xdr:row>
      <xdr:rowOff>163605</xdr:rowOff>
    </xdr:from>
    <xdr:to>
      <xdr:col>12</xdr:col>
      <xdr:colOff>611841</xdr:colOff>
      <xdr:row>12</xdr:row>
      <xdr:rowOff>29135</xdr:rowOff>
    </xdr:to>
    <xdr:sp macro="" textlink="">
      <xdr:nvSpPr>
        <xdr:cNvPr id="76" name="TextBox 75">
          <a:extLst>
            <a:ext uri="{FF2B5EF4-FFF2-40B4-BE49-F238E27FC236}">
              <a16:creationId xmlns:a16="http://schemas.microsoft.com/office/drawing/2014/main" id="{8413C68A-FDFD-41AE-9997-80D7794990E7}"/>
            </a:ext>
          </a:extLst>
        </xdr:cNvPr>
        <xdr:cNvSpPr txBox="1"/>
      </xdr:nvSpPr>
      <xdr:spPr>
        <a:xfrm>
          <a:off x="4713194" y="2068605"/>
          <a:ext cx="3697941"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Education Wise Attrition</a:t>
          </a:r>
        </a:p>
      </xdr:txBody>
    </xdr:sp>
    <xdr:clientData/>
  </xdr:twoCellAnchor>
  <xdr:twoCellAnchor editAs="oneCell">
    <xdr:from>
      <xdr:col>2</xdr:col>
      <xdr:colOff>0</xdr:colOff>
      <xdr:row>46</xdr:row>
      <xdr:rowOff>0</xdr:rowOff>
    </xdr:from>
    <xdr:to>
      <xdr:col>2</xdr:col>
      <xdr:colOff>619125</xdr:colOff>
      <xdr:row>47</xdr:row>
      <xdr:rowOff>9525</xdr:rowOff>
    </xdr:to>
    <xdr:pic>
      <xdr:nvPicPr>
        <xdr:cNvPr id="77" name="Picture 76">
          <a:extLst>
            <a:ext uri="{FF2B5EF4-FFF2-40B4-BE49-F238E27FC236}">
              <a16:creationId xmlns:a16="http://schemas.microsoft.com/office/drawing/2014/main" id="{DF9473C6-274F-7543-DE35-6A0B7D79983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95400" y="8763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619125</xdr:colOff>
      <xdr:row>47</xdr:row>
      <xdr:rowOff>9525</xdr:rowOff>
    </xdr:to>
    <xdr:pic>
      <xdr:nvPicPr>
        <xdr:cNvPr id="78" name="Picture 77">
          <a:extLst>
            <a:ext uri="{FF2B5EF4-FFF2-40B4-BE49-F238E27FC236}">
              <a16:creationId xmlns:a16="http://schemas.microsoft.com/office/drawing/2014/main" id="{823978DC-1C0B-29D8-5BC4-82F4123817B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95400" y="8763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123262</xdr:colOff>
      <xdr:row>12</xdr:row>
      <xdr:rowOff>100850</xdr:rowOff>
    </xdr:from>
    <xdr:to>
      <xdr:col>22</xdr:col>
      <xdr:colOff>325674</xdr:colOff>
      <xdr:row>24</xdr:row>
      <xdr:rowOff>82850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15EAC9F6-F08B-4B97-9228-95FB47A034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9838762" y="2386850"/>
              <a:ext cx="4736312" cy="226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271182</xdr:colOff>
      <xdr:row>10</xdr:row>
      <xdr:rowOff>163605</xdr:rowOff>
    </xdr:from>
    <xdr:to>
      <xdr:col>20</xdr:col>
      <xdr:colOff>69475</xdr:colOff>
      <xdr:row>12</xdr:row>
      <xdr:rowOff>29135</xdr:rowOff>
    </xdr:to>
    <xdr:sp macro="" textlink="">
      <xdr:nvSpPr>
        <xdr:cNvPr id="80" name="TextBox 79">
          <a:extLst>
            <a:ext uri="{FF2B5EF4-FFF2-40B4-BE49-F238E27FC236}">
              <a16:creationId xmlns:a16="http://schemas.microsoft.com/office/drawing/2014/main" id="{FBFD4E83-06AB-4ECF-A6BB-FDBC6DB19E8D}"/>
            </a:ext>
          </a:extLst>
        </xdr:cNvPr>
        <xdr:cNvSpPr txBox="1"/>
      </xdr:nvSpPr>
      <xdr:spPr>
        <a:xfrm>
          <a:off x="9370358" y="2068605"/>
          <a:ext cx="3697941"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Attrition By Job Role</a:t>
          </a:r>
        </a:p>
      </xdr:txBody>
    </xdr:sp>
    <xdr:clientData/>
  </xdr:twoCellAnchor>
  <xdr:twoCellAnchor>
    <xdr:from>
      <xdr:col>0</xdr:col>
      <xdr:colOff>0</xdr:colOff>
      <xdr:row>27</xdr:row>
      <xdr:rowOff>33618</xdr:rowOff>
    </xdr:from>
    <xdr:to>
      <xdr:col>6</xdr:col>
      <xdr:colOff>347381</xdr:colOff>
      <xdr:row>38</xdr:row>
      <xdr:rowOff>78441</xdr:rowOff>
    </xdr:to>
    <xdr:graphicFrame macro="">
      <xdr:nvGraphicFramePr>
        <xdr:cNvPr id="81" name="Chart 80">
          <a:extLst>
            <a:ext uri="{FF2B5EF4-FFF2-40B4-BE49-F238E27FC236}">
              <a16:creationId xmlns:a16="http://schemas.microsoft.com/office/drawing/2014/main" id="{77710C6A-3B90-42DC-B6C2-0BA1B9C21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324970</xdr:colOff>
      <xdr:row>24</xdr:row>
      <xdr:rowOff>171448</xdr:rowOff>
    </xdr:from>
    <xdr:to>
      <xdr:col>4</xdr:col>
      <xdr:colOff>347382</xdr:colOff>
      <xdr:row>26</xdr:row>
      <xdr:rowOff>124386</xdr:rowOff>
    </xdr:to>
    <xdr:sp macro="" textlink="">
      <xdr:nvSpPr>
        <xdr:cNvPr id="82" name="TextBox 81">
          <a:extLst>
            <a:ext uri="{FF2B5EF4-FFF2-40B4-BE49-F238E27FC236}">
              <a16:creationId xmlns:a16="http://schemas.microsoft.com/office/drawing/2014/main" id="{ABE3473E-0C78-4B41-BD28-7E8136E93244}"/>
            </a:ext>
          </a:extLst>
        </xdr:cNvPr>
        <xdr:cNvSpPr txBox="1"/>
      </xdr:nvSpPr>
      <xdr:spPr>
        <a:xfrm>
          <a:off x="324970" y="4743448"/>
          <a:ext cx="2622177"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50000"/>
                </a:schemeClr>
              </a:solidFill>
              <a:latin typeface="Segoe UI Black" panose="020B0A02040204020203" pitchFamily="34" charset="0"/>
              <a:ea typeface="Segoe UI Black" panose="020B0A02040204020203" pitchFamily="34" charset="0"/>
              <a:cs typeface="+mn-cs"/>
            </a:rPr>
            <a:t>Department</a:t>
          </a: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 waise Attrition</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7</xdr:col>
      <xdr:colOff>100852</xdr:colOff>
      <xdr:row>24</xdr:row>
      <xdr:rowOff>171448</xdr:rowOff>
    </xdr:from>
    <xdr:to>
      <xdr:col>9</xdr:col>
      <xdr:colOff>466164</xdr:colOff>
      <xdr:row>26</xdr:row>
      <xdr:rowOff>124386</xdr:rowOff>
    </xdr:to>
    <xdr:sp macro="" textlink="">
      <xdr:nvSpPr>
        <xdr:cNvPr id="83" name="TextBox 82">
          <a:extLst>
            <a:ext uri="{FF2B5EF4-FFF2-40B4-BE49-F238E27FC236}">
              <a16:creationId xmlns:a16="http://schemas.microsoft.com/office/drawing/2014/main" id="{14641201-C498-4A9F-B169-DB29D6462244}"/>
            </a:ext>
          </a:extLst>
        </xdr:cNvPr>
        <xdr:cNvSpPr txBox="1"/>
      </xdr:nvSpPr>
      <xdr:spPr>
        <a:xfrm>
          <a:off x="4650440" y="4743448"/>
          <a:ext cx="1665195"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Attrition by Age</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6</xdr:col>
      <xdr:colOff>560293</xdr:colOff>
      <xdr:row>26</xdr:row>
      <xdr:rowOff>145675</xdr:rowOff>
    </xdr:from>
    <xdr:to>
      <xdr:col>12</xdr:col>
      <xdr:colOff>548646</xdr:colOff>
      <xdr:row>38</xdr:row>
      <xdr:rowOff>127675</xdr:rowOff>
    </xdr:to>
    <xdr:graphicFrame macro="">
      <xdr:nvGraphicFramePr>
        <xdr:cNvPr id="84" name="Chart 83">
          <a:extLst>
            <a:ext uri="{FF2B5EF4-FFF2-40B4-BE49-F238E27FC236}">
              <a16:creationId xmlns:a16="http://schemas.microsoft.com/office/drawing/2014/main" id="{3F0AB05A-B557-4B5D-B075-1F847A07F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145675</xdr:colOff>
      <xdr:row>24</xdr:row>
      <xdr:rowOff>171448</xdr:rowOff>
    </xdr:from>
    <xdr:to>
      <xdr:col>15</xdr:col>
      <xdr:colOff>618563</xdr:colOff>
      <xdr:row>26</xdr:row>
      <xdr:rowOff>124386</xdr:rowOff>
    </xdr:to>
    <xdr:sp macro="" textlink="">
      <xdr:nvSpPr>
        <xdr:cNvPr id="85" name="TextBox 84">
          <a:extLst>
            <a:ext uri="{FF2B5EF4-FFF2-40B4-BE49-F238E27FC236}">
              <a16:creationId xmlns:a16="http://schemas.microsoft.com/office/drawing/2014/main" id="{1348F732-4C72-4375-9D09-FB74169DD3BF}"/>
            </a:ext>
          </a:extLst>
        </xdr:cNvPr>
        <xdr:cNvSpPr txBox="1"/>
      </xdr:nvSpPr>
      <xdr:spPr>
        <a:xfrm>
          <a:off x="8594910" y="4743448"/>
          <a:ext cx="1772771" cy="333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accent2">
                  <a:lumMod val="50000"/>
                </a:schemeClr>
              </a:solidFill>
              <a:latin typeface="Segoe UI Black" panose="020B0A02040204020203" pitchFamily="34" charset="0"/>
              <a:ea typeface="Segoe UI Black" panose="020B0A02040204020203" pitchFamily="34" charset="0"/>
              <a:cs typeface="+mn-cs"/>
            </a:rPr>
            <a:t>Attrition by Age</a:t>
          </a:r>
          <a:endParaRPr lang="en-IN" sz="1400" b="1">
            <a:solidFill>
              <a:schemeClr val="accent2">
                <a:lumMod val="50000"/>
              </a:schemeClr>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13</xdr:col>
      <xdr:colOff>100853</xdr:colOff>
      <xdr:row>26</xdr:row>
      <xdr:rowOff>179294</xdr:rowOff>
    </xdr:from>
    <xdr:to>
      <xdr:col>17</xdr:col>
      <xdr:colOff>414618</xdr:colOff>
      <xdr:row>38</xdr:row>
      <xdr:rowOff>179294</xdr:rowOff>
    </xdr:to>
    <mc:AlternateContent xmlns:mc="http://schemas.openxmlformats.org/markup-compatibility/2006">
      <mc:Choice xmlns:cx2="http://schemas.microsoft.com/office/drawing/2015/10/21/chartex" Requires="cx2">
        <xdr:graphicFrame macro="">
          <xdr:nvGraphicFramePr>
            <xdr:cNvPr id="86" name="Chart 85">
              <a:extLst>
                <a:ext uri="{FF2B5EF4-FFF2-40B4-BE49-F238E27FC236}">
                  <a16:creationId xmlns:a16="http://schemas.microsoft.com/office/drawing/2014/main" id="{97A4B00C-3B61-4FCB-8B04-FC627C5866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8520953" y="5132294"/>
              <a:ext cx="2904565"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123264</xdr:colOff>
      <xdr:row>26</xdr:row>
      <xdr:rowOff>179294</xdr:rowOff>
    </xdr:from>
    <xdr:to>
      <xdr:col>20</xdr:col>
      <xdr:colOff>263381</xdr:colOff>
      <xdr:row>38</xdr:row>
      <xdr:rowOff>89294</xdr:rowOff>
    </xdr:to>
    <mc:AlternateContent xmlns:mc="http://schemas.openxmlformats.org/markup-compatibility/2006" xmlns:a14="http://schemas.microsoft.com/office/drawing/2010/main">
      <mc:Choice Requires="a14">
        <xdr:graphicFrame macro="">
          <xdr:nvGraphicFramePr>
            <xdr:cNvPr id="87" name="Education Field 1">
              <a:extLst>
                <a:ext uri="{FF2B5EF4-FFF2-40B4-BE49-F238E27FC236}">
                  <a16:creationId xmlns:a16="http://schemas.microsoft.com/office/drawing/2014/main" id="{E6A027CB-2435-41EB-AAB7-6F4424D5071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1879835" y="5132294"/>
              <a:ext cx="1446403" cy="21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291352</xdr:colOff>
      <xdr:row>26</xdr:row>
      <xdr:rowOff>179294</xdr:rowOff>
    </xdr:from>
    <xdr:to>
      <xdr:col>22</xdr:col>
      <xdr:colOff>291353</xdr:colOff>
      <xdr:row>33</xdr:row>
      <xdr:rowOff>105794</xdr:rowOff>
    </xdr:to>
    <mc:AlternateContent xmlns:mc="http://schemas.openxmlformats.org/markup-compatibility/2006" xmlns:a14="http://schemas.microsoft.com/office/drawing/2010/main">
      <mc:Choice Requires="a14">
        <xdr:graphicFrame macro="">
          <xdr:nvGraphicFramePr>
            <xdr:cNvPr id="88" name="Department 1">
              <a:extLst>
                <a:ext uri="{FF2B5EF4-FFF2-40B4-BE49-F238E27FC236}">
                  <a16:creationId xmlns:a16="http://schemas.microsoft.com/office/drawing/2014/main" id="{4F8AACF4-4070-480E-80A6-E3373C454E7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354209" y="5132294"/>
              <a:ext cx="1306287"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c:userShapes xmlns:c="http://schemas.openxmlformats.org/drawingml/2006/chart">
  <cdr:relSizeAnchor xmlns:cdr="http://schemas.openxmlformats.org/drawingml/2006/chartDrawing">
    <cdr:from>
      <cdr:x>0.27472</cdr:x>
      <cdr:y>0.31461</cdr:y>
    </cdr:from>
    <cdr:to>
      <cdr:x>0.8022</cdr:x>
      <cdr:y>0.60674</cdr:y>
    </cdr:to>
    <cdr:sp macro="" textlink="Pivots!$B$10">
      <cdr:nvSpPr>
        <cdr:cNvPr id="2" name="TextBox 1">
          <a:extLst xmlns:a="http://schemas.openxmlformats.org/drawingml/2006/main">
            <a:ext uri="{FF2B5EF4-FFF2-40B4-BE49-F238E27FC236}">
              <a16:creationId xmlns:a16="http://schemas.microsoft.com/office/drawing/2014/main" id="{5D6F63B5-191D-FFAB-53BB-0EEA752CD70D}"/>
            </a:ext>
          </a:extLst>
        </cdr:cNvPr>
        <cdr:cNvSpPr txBox="1"/>
      </cdr:nvSpPr>
      <cdr:spPr>
        <a:xfrm xmlns:a="http://schemas.openxmlformats.org/drawingml/2006/main">
          <a:off x="280146" y="313764"/>
          <a:ext cx="537882" cy="2913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C7C36D1-37D6-4B4A-AFA8-E8F3106D443C}" type="TxLink">
            <a:rPr lang="en-US" sz="1400" b="0" i="0" u="none" strike="noStrike">
              <a:solidFill>
                <a:srgbClr val="000000"/>
              </a:solidFill>
              <a:latin typeface="Arial Black" panose="020B0A04020102020204" pitchFamily="34" charset="0"/>
            </a:rPr>
            <a:pPr/>
            <a:t>2.6</a:t>
          </a:fld>
          <a:endParaRPr lang="en-IN" sz="1400">
            <a:latin typeface="Arial Black" panose="020B0A040201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0.26095</cdr:x>
      <cdr:y>0.31542</cdr:y>
    </cdr:from>
    <cdr:to>
      <cdr:x>0.74343</cdr:x>
      <cdr:y>0.65004</cdr:y>
    </cdr:to>
    <cdr:sp macro="" textlink="Pivots!$B$19">
      <cdr:nvSpPr>
        <cdr:cNvPr id="2" name="TextBox 1">
          <a:extLst xmlns:a="http://schemas.openxmlformats.org/drawingml/2006/main">
            <a:ext uri="{FF2B5EF4-FFF2-40B4-BE49-F238E27FC236}">
              <a16:creationId xmlns:a16="http://schemas.microsoft.com/office/drawing/2014/main" id="{6962369A-0605-8E06-2B54-2BA35D6E1FEF}"/>
            </a:ext>
          </a:extLst>
        </cdr:cNvPr>
        <cdr:cNvSpPr txBox="1"/>
      </cdr:nvSpPr>
      <cdr:spPr>
        <a:xfrm xmlns:a="http://schemas.openxmlformats.org/drawingml/2006/main">
          <a:off x="375770" y="454211"/>
          <a:ext cx="694766" cy="481853"/>
        </a:xfrm>
        <a:prstGeom xmlns:a="http://schemas.openxmlformats.org/drawingml/2006/main" prst="rect">
          <a:avLst/>
        </a:prstGeom>
        <a:noFill xmlns:a="http://schemas.openxmlformats.org/drawingml/2006/mai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414353F-86FF-48D3-9AC2-15210294CC86}" type="TxLink">
            <a:rPr lang="en-US" sz="2000" b="1" i="0" u="none" strike="noStrike">
              <a:solidFill>
                <a:schemeClr val="accent1">
                  <a:lumMod val="50000"/>
                </a:schemeClr>
              </a:solidFill>
              <a:latin typeface="Arial Black" panose="020B0A04020102020204" pitchFamily="34" charset="0"/>
              <a:ea typeface="+mn-ea"/>
              <a:cs typeface="+mn-cs"/>
            </a:rPr>
            <a:pPr marL="0" indent="0" algn="ctr"/>
            <a:t>882</a:t>
          </a:fld>
          <a:endParaRPr lang="en-IN" sz="2000" b="1" i="0" u="none" strike="noStrike">
            <a:solidFill>
              <a:schemeClr val="accent1">
                <a:lumMod val="50000"/>
              </a:schemeClr>
            </a:solidFill>
            <a:latin typeface="Arial Black" panose="020B0A04020102020204" pitchFamily="34" charset="0"/>
            <a:ea typeface="+mn-ea"/>
            <a:cs typeface="+mn-cs"/>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457202</xdr:colOff>
      <xdr:row>5</xdr:row>
      <xdr:rowOff>38100</xdr:rowOff>
    </xdr:from>
    <xdr:to>
      <xdr:col>5</xdr:col>
      <xdr:colOff>152400</xdr:colOff>
      <xdr:row>11</xdr:row>
      <xdr:rowOff>133349</xdr:rowOff>
    </xdr:to>
    <xdr:graphicFrame macro="">
      <xdr:nvGraphicFramePr>
        <xdr:cNvPr id="2" name="Chart 1">
          <a:extLst>
            <a:ext uri="{FF2B5EF4-FFF2-40B4-BE49-F238E27FC236}">
              <a16:creationId xmlns:a16="http://schemas.microsoft.com/office/drawing/2014/main" id="{4BA7C623-0B90-62BE-FFC6-28C0571B8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xdr:colOff>
      <xdr:row>11</xdr:row>
      <xdr:rowOff>123825</xdr:rowOff>
    </xdr:from>
    <xdr:to>
      <xdr:col>6</xdr:col>
      <xdr:colOff>9525</xdr:colOff>
      <xdr:row>15</xdr:row>
      <xdr:rowOff>114300</xdr:rowOff>
    </xdr:to>
    <xdr:graphicFrame macro="">
      <xdr:nvGraphicFramePr>
        <xdr:cNvPr id="3" name="Chart 2">
          <a:extLst>
            <a:ext uri="{FF2B5EF4-FFF2-40B4-BE49-F238E27FC236}">
              <a16:creationId xmlns:a16="http://schemas.microsoft.com/office/drawing/2014/main" id="{99BEE776-E2F9-3F6D-9667-81A89986E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38100</xdr:colOff>
      <xdr:row>15</xdr:row>
      <xdr:rowOff>123824</xdr:rowOff>
    </xdr:from>
    <xdr:to>
      <xdr:col>4</xdr:col>
      <xdr:colOff>797775</xdr:colOff>
      <xdr:row>20</xdr:row>
      <xdr:rowOff>179324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1A24BC6-D056-35C1-8E9E-A1B96DA1A2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48250" y="3000374"/>
              <a:ext cx="1836000"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819150</xdr:colOff>
      <xdr:row>15</xdr:row>
      <xdr:rowOff>123825</xdr:rowOff>
    </xdr:from>
    <xdr:to>
      <xdr:col>7</xdr:col>
      <xdr:colOff>343650</xdr:colOff>
      <xdr:row>26</xdr:row>
      <xdr:rowOff>116325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36F43E7-EDE5-3AE0-35CD-F27A0957DA6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905625" y="3000375"/>
              <a:ext cx="162000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19</xdr:row>
      <xdr:rowOff>47625</xdr:rowOff>
    </xdr:from>
    <xdr:to>
      <xdr:col>1</xdr:col>
      <xdr:colOff>678000</xdr:colOff>
      <xdr:row>26</xdr:row>
      <xdr:rowOff>154125</xdr:rowOff>
    </xdr:to>
    <xdr:graphicFrame macro="">
      <xdr:nvGraphicFramePr>
        <xdr:cNvPr id="6" name="Chart 5">
          <a:extLst>
            <a:ext uri="{FF2B5EF4-FFF2-40B4-BE49-F238E27FC236}">
              <a16:creationId xmlns:a16="http://schemas.microsoft.com/office/drawing/2014/main" id="{C31E2C43-9226-8DD2-A925-B12393011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26</xdr:row>
      <xdr:rowOff>133350</xdr:rowOff>
    </xdr:from>
    <xdr:to>
      <xdr:col>8</xdr:col>
      <xdr:colOff>0</xdr:colOff>
      <xdr:row>37</xdr:row>
      <xdr:rowOff>85725</xdr:rowOff>
    </xdr:to>
    <xdr:graphicFrame macro="">
      <xdr:nvGraphicFramePr>
        <xdr:cNvPr id="7" name="Chart 6">
          <a:extLst>
            <a:ext uri="{FF2B5EF4-FFF2-40B4-BE49-F238E27FC236}">
              <a16:creationId xmlns:a16="http://schemas.microsoft.com/office/drawing/2014/main" id="{D866E355-FB92-ACAC-B435-808C3181D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37</xdr:row>
      <xdr:rowOff>95250</xdr:rowOff>
    </xdr:from>
    <xdr:to>
      <xdr:col>9</xdr:col>
      <xdr:colOff>590550</xdr:colOff>
      <xdr:row>49</xdr:row>
      <xdr:rowOff>19050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D946575-DE47-A901-FBB4-C747530D45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81725" y="7162800"/>
              <a:ext cx="3810000" cy="2238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48</xdr:row>
      <xdr:rowOff>104775</xdr:rowOff>
    </xdr:from>
    <xdr:to>
      <xdr:col>4</xdr:col>
      <xdr:colOff>685800</xdr:colOff>
      <xdr:row>58</xdr:row>
      <xdr:rowOff>95250</xdr:rowOff>
    </xdr:to>
    <xdr:graphicFrame macro="">
      <xdr:nvGraphicFramePr>
        <xdr:cNvPr id="9" name="Chart 8">
          <a:extLst>
            <a:ext uri="{FF2B5EF4-FFF2-40B4-BE49-F238E27FC236}">
              <a16:creationId xmlns:a16="http://schemas.microsoft.com/office/drawing/2014/main" id="{6ABBB8B4-B2D5-1442-CF92-AE8595629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171450</xdr:colOff>
      <xdr:row>58</xdr:row>
      <xdr:rowOff>133350</xdr:rowOff>
    </xdr:from>
    <xdr:to>
      <xdr:col>4</xdr:col>
      <xdr:colOff>609600</xdr:colOff>
      <xdr:row>68</xdr:row>
      <xdr:rowOff>57150</xdr:rowOff>
    </xdr:to>
    <xdr:graphicFrame macro="">
      <xdr:nvGraphicFramePr>
        <xdr:cNvPr id="10" name="Chart 9">
          <a:extLst>
            <a:ext uri="{FF2B5EF4-FFF2-40B4-BE49-F238E27FC236}">
              <a16:creationId xmlns:a16="http://schemas.microsoft.com/office/drawing/2014/main" id="{16C876FE-42E7-15D4-7995-D2F338234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628650</xdr:colOff>
      <xdr:row>62</xdr:row>
      <xdr:rowOff>171450</xdr:rowOff>
    </xdr:from>
    <xdr:to>
      <xdr:col>7</xdr:col>
      <xdr:colOff>561975</xdr:colOff>
      <xdr:row>74</xdr:row>
      <xdr:rowOff>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2462D24-7517-255F-9599-A01B8E65CE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15125" y="12030075"/>
              <a:ext cx="2028825" cy="2143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38100</xdr:colOff>
      <xdr:row>21</xdr:row>
      <xdr:rowOff>9526</xdr:rowOff>
    </xdr:from>
    <xdr:to>
      <xdr:col>4</xdr:col>
      <xdr:colOff>797775</xdr:colOff>
      <xdr:row>27</xdr:row>
      <xdr:rowOff>126526</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66A3E07-62E3-B05B-A8C7-7D764F4BB19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48250" y="4029076"/>
              <a:ext cx="1836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vakar" refreshedDate="46053.323072569445" createdVersion="8" refreshedVersion="8" minRefreshableVersion="3" recordCount="1470" xr:uid="{3853C021-C044-451D-9B5B-9A9B845EBF5D}">
  <cacheSource type="worksheet">
    <worksheetSource name="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98792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C0AE2-539A-40A1-B777-785A89855E97}" name="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CD183-BB0E-4584-B1D3-F21668B53D37}" name="Count_by_Gen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B1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D2CF5-458B-42F4-A0F9-CB19C9E32267}" name="Attrition_by_Dep"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1:B5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3A0B20-DA7B-4DDC-BEF6-3822EF7AEC4F}" name="Attrition _by_Marrital_Statu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0:B74"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A9576-2ABF-47A2-884A-74A22B52EB56}" name="KPI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C2"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fld="7" subtotal="count" baseField="0" baseItem="0"/>
    <dataField name="Attrition Count" fld="18" subtotal="count" baseField="0" baseItem="1"/>
    <dataField name="Average of Age" fld="16"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CB56A8-E808-4564-B53D-439AB75C3033}" name="Attrition_by_Job_Rol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B4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EDC23F-4451-406E-B92C-B226C76988E4}" name="Attrition_by_Educa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9:B3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23FE4E-1406-42D9-93CC-14272C36BF60}" name="Attrition_by_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9:B65"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FA68CE-9550-4C03-A8F0-297C9C9AF288}" sourceName="Gender">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26DA0CC-996D-4AF2-8EF0-ED4525A57FCC}" sourceName="Education Field">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89ED6E-0DFC-45D7-AD96-48DB5C079FD3}" sourceName="Department">
  <pivotTables>
    <pivotTable tabId="4" name="Count_by_Gender"/>
    <pivotTable tabId="4" name="Attrition _by_Marrital_Status"/>
    <pivotTable tabId="4" name="Attrition_by_Age"/>
    <pivotTable tabId="4" name="Attrition_by_Dep"/>
    <pivotTable tabId="4" name="Attrition_by_Education"/>
    <pivotTable tabId="4" name="Attrition_by_Job_Role"/>
    <pivotTable tabId="4" name="KPIs"/>
    <pivotTable tabId="4" name="Rating"/>
  </pivotTables>
  <data>
    <tabular pivotCacheId="69879272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16B46A0-B2CE-48B5-B31C-942AF13331A6}" cache="Slicer_Gender" caption="Gender" columnCount="2" style="HR Slicer" rowHeight="257175"/>
  <slicer name="Education Field 1" xr10:uid="{9D9CB60E-D36A-4639-ACDF-8C36A523F98C}" cache="Slicer_Education_Field" style="HR Slicer" rowHeight="257175"/>
  <slicer name="Department 1" xr10:uid="{50233AA1-B1C3-4032-B885-1309460FC4FB}" cache="Slicer_Department" style="HR Slic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25C904-818F-407A-930B-5F6088E35325}" cache="Slicer_Gender" caption="Gender" rowHeight="257175"/>
  <slicer name="Education Field" xr10:uid="{C3549205-FF92-4A68-A441-571AED37D0AA}" cache="Slicer_Education_Field" caption="Education Field" rowHeight="257175"/>
  <slicer name="Department" xr10:uid="{D0C55469-365A-418F-84A5-5CFB6A6D3DF8}"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F5214C-B0FD-479E-9E35-FD468D4F42EF}" name="Data" displayName="Data" ref="A1:AR1471" totalsRowShown="0">
  <autoFilter ref="A1:AR1471" xr:uid="{55F5214C-B0FD-479E-9E35-FD468D4F42EF}"/>
  <tableColumns count="44">
    <tableColumn id="1" xr3:uid="{BA011EB8-5332-457B-8F4E-E798FC90CC45}" name="Attrition"/>
    <tableColumn id="2" xr3:uid="{2BE42546-131B-4B9E-BDDF-FA01D47A5FD2}" name="Business Travel"/>
    <tableColumn id="3" xr3:uid="{6565432A-EFC9-4F4C-87C1-08E4E50BF6B3}" name="CF_age band"/>
    <tableColumn id="4" xr3:uid="{91C3D8C4-BABE-48A9-BCC3-800F5E85263B}" name="CF_attrition label"/>
    <tableColumn id="5" xr3:uid="{72304D40-CE8C-4A15-A20B-44C8C6A4EEDD}" name="Department"/>
    <tableColumn id="6" xr3:uid="{F5C562D6-EBD3-4CAE-9C04-0D32A8F3BF43}" name="Education Field"/>
    <tableColumn id="7" xr3:uid="{D5C39D56-2A08-404E-9A0B-74420F43F5EF}" name="emp no"/>
    <tableColumn id="8" xr3:uid="{CE131A4B-AD28-41C7-B467-8718917FDF63}" name="Employee Number"/>
    <tableColumn id="9" xr3:uid="{87447730-454F-4461-ABF6-41ECAA840C34}" name="Gender"/>
    <tableColumn id="10" xr3:uid="{8994A028-A89B-40CE-B845-D5AAA788C95A}" name="Job Role"/>
    <tableColumn id="11" xr3:uid="{ED22897F-4AE8-484A-A73E-2E2069AE7E8E}" name="Marital Status"/>
    <tableColumn id="12" xr3:uid="{1132EAD8-E7C7-4E1A-88E3-936CDD36680A}" name="Over Time"/>
    <tableColumn id="13" xr3:uid="{9F5B073E-73D4-4A28-B91A-1EC51E76B73C}" name="Over18"/>
    <tableColumn id="14" xr3:uid="{024D8EAC-914B-4236-88CE-79BA1A29D421}" name="Training Times Last Year"/>
    <tableColumn id="15" xr3:uid="{9597172E-D249-4036-A8C6-F86A67F7EE14}" name="-2"/>
    <tableColumn id="16" xr3:uid="{9E82DC4F-AB14-48FA-B287-CA9BF9956005}" name="0"/>
    <tableColumn id="17" xr3:uid="{139DD0F3-C741-41CA-8CCD-83395C54B6B1}" name="Age"/>
    <tableColumn id="18" xr3:uid="{30A9E59C-68C6-4ADA-AE65-0DEC77006B09}" name="CF_attrition count"/>
    <tableColumn id="19" xr3:uid="{F7E485E6-6F7D-49E3-95DD-09800A6163B7}" name="CF_attrition counts"/>
    <tableColumn id="20" xr3:uid="{0E1F8E50-3B71-4DA9-A80D-04609A625E62}" name="CF_attrition rate"/>
    <tableColumn id="21" xr3:uid="{30552467-D8E2-4140-A1CA-EEAE85A690EF}" name="CF_current Employee"/>
    <tableColumn id="22" xr3:uid="{290A77FC-C303-4497-A5B3-E7E5832849E8}" name="Daily Rate"/>
    <tableColumn id="23" xr3:uid="{DE448FAD-CDEA-42CA-A7D9-6131A0DCD068}" name="Distance From Home"/>
    <tableColumn id="24" xr3:uid="{4482D0DB-4521-47A9-BBD4-D6AA736D4623}" name="Education"/>
    <tableColumn id="25" xr3:uid="{6F2A9436-55F3-4631-BEC0-215EA70A93CE}" name="Employee Count"/>
    <tableColumn id="26" xr3:uid="{03F1F056-6970-49E6-93E7-38F0A94254AE}" name="Environment Satisfaction"/>
    <tableColumn id="27" xr3:uid="{DD8F1ED1-C257-4FD1-9E65-2D7137BAF5B2}" name="Hourly Rate"/>
    <tableColumn id="28" xr3:uid="{DC66D232-424E-484E-8759-1FC1D977A174}" name="Job Involvement"/>
    <tableColumn id="29" xr3:uid="{34B42262-BECC-4B66-989A-6EDC8EB47D3D}" name="Job Level"/>
    <tableColumn id="30" xr3:uid="{BBFC197C-43B7-41F6-AAF4-942FC2C48527}" name="Job Satisfaction"/>
    <tableColumn id="31" xr3:uid="{5871F399-EA7D-4973-ABD5-FD2DAE618A5D}" name="Monthly Income"/>
    <tableColumn id="32" xr3:uid="{F0AA290A-282A-468F-87B7-33C7EBBE01AF}" name="Monthly Rate"/>
    <tableColumn id="33" xr3:uid="{9ABF7959-551C-44E9-AB8C-CE52466DE80D}" name="Num Companies Worked"/>
    <tableColumn id="34" xr3:uid="{AAD951CB-8921-4A44-94CA-ECB0B56C824F}" name="Percent Salary Hike"/>
    <tableColumn id="35" xr3:uid="{6CA0A151-26D4-49F6-A741-45BC47817A3E}" name="Performance Rating"/>
    <tableColumn id="36" xr3:uid="{7F0FC37F-4D50-401D-9A1F-FBC9D5B046E6}" name="Relationship Satisfaction"/>
    <tableColumn id="37" xr3:uid="{589D33EC-20E3-449E-A42C-19CC60A3E22D}" name="Standard Hours"/>
    <tableColumn id="38" xr3:uid="{DC4D1D2C-01EB-4B1E-AFF3-E7DDD4AD82FA}" name="Stock Option Level"/>
    <tableColumn id="39" xr3:uid="{C0ECF1D3-A292-4951-916C-49D0277EF6E4}" name="Total Working Years"/>
    <tableColumn id="40" xr3:uid="{EEE469C2-9CE5-4268-A608-0F333E4C1DD9}" name="Work Life Balance"/>
    <tableColumn id="41" xr3:uid="{7773422C-F68B-4394-9378-A9E2531A16A8}" name="Years At Company"/>
    <tableColumn id="42" xr3:uid="{3DA22EE2-4981-49DF-8867-2E8E292A10C7}" name="Years In Current Role"/>
    <tableColumn id="43" xr3:uid="{FEE0329C-4AD7-4E0F-84B8-512E306C450F}" name="Years Since Last Promotion"/>
    <tableColumn id="44" xr3:uid="{19BDDF64-3CED-47F1-BD45-6E659EB65C1C}" name="Years With Curr Manager"/>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DEAC-2AE5-42BA-A808-60AE274A5B8A}">
  <dimension ref="A1:A20"/>
  <sheetViews>
    <sheetView tabSelected="1" zoomScale="70" zoomScaleNormal="70" workbookViewId="0">
      <selection activeCell="L43" sqref="L43"/>
    </sheetView>
  </sheetViews>
  <sheetFormatPr defaultColWidth="12.85546875" defaultRowHeight="15" customHeight="1" x14ac:dyDescent="0.25"/>
  <cols>
    <col min="1" max="26" width="9.7109375" style="1" customWidth="1"/>
    <col min="27" max="16384" width="12.85546875" style="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sheetProtection sheet="1" objects="1" scenarios="1"/>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425D-FC4A-40E8-9B81-6E456CFCED4E}">
  <dimension ref="A1:E74"/>
  <sheetViews>
    <sheetView workbookViewId="0"/>
  </sheetViews>
  <sheetFormatPr defaultRowHeight="15" x14ac:dyDescent="0.25"/>
  <cols>
    <col min="1" max="1" width="25.5703125" bestFit="1" customWidth="1"/>
    <col min="2" max="2" width="25.28515625" bestFit="1" customWidth="1"/>
    <col min="3" max="3" width="24.28515625" bestFit="1" customWidth="1"/>
    <col min="4" max="4" width="16.140625" bestFit="1" customWidth="1"/>
    <col min="5" max="5" width="13.140625" bestFit="1" customWidth="1"/>
  </cols>
  <sheetData>
    <row r="1" spans="1:5" x14ac:dyDescent="0.25">
      <c r="A1" t="s">
        <v>1567</v>
      </c>
      <c r="B1" t="s">
        <v>1558</v>
      </c>
      <c r="C1" t="s">
        <v>1556</v>
      </c>
    </row>
    <row r="2" spans="1:5" x14ac:dyDescent="0.25">
      <c r="A2" s="2">
        <v>1470</v>
      </c>
      <c r="B2" s="2">
        <v>237</v>
      </c>
      <c r="C2" s="3">
        <v>36.923809523809524</v>
      </c>
    </row>
    <row r="3" spans="1:5" ht="15.75" thickBot="1" x14ac:dyDescent="0.3"/>
    <row r="4" spans="1:5" x14ac:dyDescent="0.25">
      <c r="A4" s="5" t="s">
        <v>1557</v>
      </c>
      <c r="B4" s="6" t="s">
        <v>1558</v>
      </c>
      <c r="C4" s="6" t="s">
        <v>1559</v>
      </c>
      <c r="D4" s="6" t="s">
        <v>1560</v>
      </c>
      <c r="E4" s="7" t="s">
        <v>1561</v>
      </c>
    </row>
    <row r="5" spans="1:5" ht="15.75" thickBot="1" x14ac:dyDescent="0.3">
      <c r="A5" s="8">
        <f>GETPIVOTDATA("Count of Employee",$A$1)</f>
        <v>1470</v>
      </c>
      <c r="B5" s="9">
        <f>GETPIVOTDATA("Attrition Count",$A$1)</f>
        <v>237</v>
      </c>
      <c r="C5" s="10">
        <f>GETPIVOTDATA("Average of Age",$A$1)</f>
        <v>36.923809523809524</v>
      </c>
      <c r="D5" s="9">
        <f>A5-B5</f>
        <v>1233</v>
      </c>
      <c r="E5" s="11">
        <f>B5/A5</f>
        <v>0.16122448979591836</v>
      </c>
    </row>
    <row r="7" spans="1:5" x14ac:dyDescent="0.25">
      <c r="A7" t="s">
        <v>1562</v>
      </c>
    </row>
    <row r="8" spans="1:5" x14ac:dyDescent="0.25">
      <c r="A8" s="12">
        <v>2.6265306122448981</v>
      </c>
    </row>
    <row r="10" spans="1:5" x14ac:dyDescent="0.25">
      <c r="A10" t="s">
        <v>1563</v>
      </c>
      <c r="B10" s="12">
        <f>GETPIVOTDATA("Job Satisfaction",$A$7)</f>
        <v>2.6265306122448981</v>
      </c>
      <c r="C10">
        <f>B10/4</f>
        <v>0.65663265306122454</v>
      </c>
    </row>
    <row r="11" spans="1:5" x14ac:dyDescent="0.25">
      <c r="A11" t="s">
        <v>1564</v>
      </c>
      <c r="B11" s="12">
        <f>4-B10</f>
        <v>1.3734693877551019</v>
      </c>
      <c r="C11">
        <f>B11/4</f>
        <v>0.34336734693877546</v>
      </c>
    </row>
    <row r="13" spans="1:5" x14ac:dyDescent="0.25">
      <c r="A13" s="13" t="s">
        <v>1565</v>
      </c>
      <c r="B13" t="s">
        <v>1567</v>
      </c>
    </row>
    <row r="14" spans="1:5" x14ac:dyDescent="0.25">
      <c r="A14" s="14" t="s">
        <v>49</v>
      </c>
      <c r="B14" s="2">
        <v>588</v>
      </c>
    </row>
    <row r="15" spans="1:5" x14ac:dyDescent="0.25">
      <c r="A15" s="14" t="s">
        <v>60</v>
      </c>
      <c r="B15" s="2">
        <v>882</v>
      </c>
    </row>
    <row r="16" spans="1:5" x14ac:dyDescent="0.25">
      <c r="A16" s="14" t="s">
        <v>1566</v>
      </c>
      <c r="B16" s="2">
        <v>1470</v>
      </c>
    </row>
    <row r="18" spans="1:3" x14ac:dyDescent="0.25">
      <c r="A18" s="14" t="s">
        <v>49</v>
      </c>
      <c r="B18" s="2">
        <f>IFERROR(GETPIVOTDATA("Employee Number",$A$13,"Gender","Female"),0)</f>
        <v>588</v>
      </c>
      <c r="C18" s="4">
        <f>IFERROR(B18/($B$18+$B$19),0)</f>
        <v>0.4</v>
      </c>
    </row>
    <row r="19" spans="1:3" x14ac:dyDescent="0.25">
      <c r="A19" s="14" t="s">
        <v>60</v>
      </c>
      <c r="B19" s="2">
        <f>IFERROR(GETPIVOTDATA("Employee Number",$A$13,"Gender","Male"),0)</f>
        <v>882</v>
      </c>
      <c r="C19" s="4">
        <f>IFERROR(B19/($B$18+$B$19),0)</f>
        <v>0.6</v>
      </c>
    </row>
    <row r="29" spans="1:3" x14ac:dyDescent="0.25">
      <c r="A29" s="13" t="s">
        <v>1565</v>
      </c>
      <c r="B29" t="s">
        <v>1555</v>
      </c>
    </row>
    <row r="30" spans="1:3" x14ac:dyDescent="0.25">
      <c r="A30" s="14" t="s">
        <v>75</v>
      </c>
      <c r="B30" s="2">
        <v>99</v>
      </c>
    </row>
    <row r="31" spans="1:3" x14ac:dyDescent="0.25">
      <c r="A31" s="14" t="s">
        <v>69</v>
      </c>
      <c r="B31" s="2">
        <v>58</v>
      </c>
    </row>
    <row r="32" spans="1:3" x14ac:dyDescent="0.25">
      <c r="A32" s="14" t="s">
        <v>53</v>
      </c>
      <c r="B32" s="2">
        <v>44</v>
      </c>
    </row>
    <row r="33" spans="1:4" x14ac:dyDescent="0.25">
      <c r="A33" s="14" t="s">
        <v>63</v>
      </c>
      <c r="B33" s="2">
        <v>31</v>
      </c>
    </row>
    <row r="34" spans="1:4" x14ac:dyDescent="0.25">
      <c r="A34" s="14" t="s">
        <v>132</v>
      </c>
      <c r="B34" s="2">
        <v>5</v>
      </c>
    </row>
    <row r="35" spans="1:4" x14ac:dyDescent="0.25">
      <c r="A35" s="14" t="s">
        <v>1566</v>
      </c>
      <c r="B35" s="2">
        <v>237</v>
      </c>
    </row>
    <row r="38" spans="1:4" ht="15.75" thickBot="1" x14ac:dyDescent="0.3"/>
    <row r="39" spans="1:4" ht="15.75" thickBot="1" x14ac:dyDescent="0.3">
      <c r="A39" s="13" t="s">
        <v>1565</v>
      </c>
      <c r="B39" t="s">
        <v>1554</v>
      </c>
      <c r="C39" s="22" t="s">
        <v>9</v>
      </c>
      <c r="D39" s="23" t="s">
        <v>0</v>
      </c>
    </row>
    <row r="40" spans="1:4" x14ac:dyDescent="0.25">
      <c r="A40" s="14" t="s">
        <v>81</v>
      </c>
      <c r="B40" s="2">
        <v>9</v>
      </c>
      <c r="C40" s="20" t="str">
        <f>A40</f>
        <v>Healthcare Representative</v>
      </c>
      <c r="D40" s="21">
        <f>GETPIVOTDATA("CF_attrition count",$A$39,"Job Role",A40)</f>
        <v>9</v>
      </c>
    </row>
    <row r="41" spans="1:4" x14ac:dyDescent="0.25">
      <c r="A41" s="14" t="s">
        <v>161</v>
      </c>
      <c r="B41" s="2">
        <v>12</v>
      </c>
      <c r="C41" s="17" t="str">
        <f t="shared" ref="C41:C48" si="0">A41</f>
        <v>Human Resources</v>
      </c>
      <c r="D41" s="18">
        <f t="shared" ref="D41:D48" si="1">GETPIVOTDATA("CF_attrition count",$A$39,"Job Role",A41)</f>
        <v>12</v>
      </c>
    </row>
    <row r="42" spans="1:4" x14ac:dyDescent="0.25">
      <c r="A42" s="14" t="s">
        <v>66</v>
      </c>
      <c r="B42" s="2">
        <v>62</v>
      </c>
      <c r="C42" s="17" t="str">
        <f t="shared" si="0"/>
        <v>Laboratory Technician</v>
      </c>
      <c r="D42" s="18">
        <f t="shared" si="1"/>
        <v>62</v>
      </c>
    </row>
    <row r="43" spans="1:4" x14ac:dyDescent="0.25">
      <c r="A43" s="14" t="s">
        <v>93</v>
      </c>
      <c r="B43" s="2">
        <v>5</v>
      </c>
      <c r="C43" s="17" t="str">
        <f t="shared" si="0"/>
        <v>Manager</v>
      </c>
      <c r="D43" s="18">
        <f t="shared" si="1"/>
        <v>5</v>
      </c>
    </row>
    <row r="44" spans="1:4" x14ac:dyDescent="0.25">
      <c r="A44" s="14" t="s">
        <v>79</v>
      </c>
      <c r="B44" s="2">
        <v>10</v>
      </c>
      <c r="C44" s="17" t="str">
        <f t="shared" si="0"/>
        <v>Manufacturing Director</v>
      </c>
      <c r="D44" s="18">
        <f t="shared" si="1"/>
        <v>10</v>
      </c>
    </row>
    <row r="45" spans="1:4" x14ac:dyDescent="0.25">
      <c r="A45" s="14" t="s">
        <v>99</v>
      </c>
      <c r="B45" s="2">
        <v>2</v>
      </c>
      <c r="C45" s="17" t="str">
        <f t="shared" si="0"/>
        <v>Research Director</v>
      </c>
      <c r="D45" s="18">
        <f t="shared" si="1"/>
        <v>2</v>
      </c>
    </row>
    <row r="46" spans="1:4" x14ac:dyDescent="0.25">
      <c r="A46" s="14" t="s">
        <v>61</v>
      </c>
      <c r="B46" s="2">
        <v>47</v>
      </c>
      <c r="C46" s="17" t="str">
        <f t="shared" si="0"/>
        <v>Research Scientist</v>
      </c>
      <c r="D46" s="18">
        <f t="shared" si="1"/>
        <v>47</v>
      </c>
    </row>
    <row r="47" spans="1:4" x14ac:dyDescent="0.25">
      <c r="A47" s="14" t="s">
        <v>50</v>
      </c>
      <c r="B47" s="2">
        <v>57</v>
      </c>
      <c r="C47" s="17" t="str">
        <f t="shared" si="0"/>
        <v>Sales Executive</v>
      </c>
      <c r="D47" s="18">
        <f t="shared" si="1"/>
        <v>57</v>
      </c>
    </row>
    <row r="48" spans="1:4" ht="15.75" thickBot="1" x14ac:dyDescent="0.3">
      <c r="A48" s="14" t="s">
        <v>97</v>
      </c>
      <c r="B48" s="2">
        <v>33</v>
      </c>
      <c r="C48" s="8" t="str">
        <f t="shared" si="0"/>
        <v>Sales Representative</v>
      </c>
      <c r="D48" s="19">
        <f t="shared" si="1"/>
        <v>33</v>
      </c>
    </row>
    <row r="49" spans="1:2" x14ac:dyDescent="0.25">
      <c r="A49" s="14" t="s">
        <v>1566</v>
      </c>
      <c r="B49" s="2">
        <v>237</v>
      </c>
    </row>
    <row r="51" spans="1:2" x14ac:dyDescent="0.25">
      <c r="A51" s="13" t="s">
        <v>1565</v>
      </c>
      <c r="B51" t="s">
        <v>1554</v>
      </c>
    </row>
    <row r="52" spans="1:2" x14ac:dyDescent="0.25">
      <c r="A52" s="14" t="s">
        <v>159</v>
      </c>
      <c r="B52" s="2">
        <v>12</v>
      </c>
    </row>
    <row r="53" spans="1:2" x14ac:dyDescent="0.25">
      <c r="A53" s="14" t="s">
        <v>58</v>
      </c>
      <c r="B53" s="2">
        <v>133</v>
      </c>
    </row>
    <row r="54" spans="1:2" x14ac:dyDescent="0.25">
      <c r="A54" s="14" t="s">
        <v>46</v>
      </c>
      <c r="B54" s="2">
        <v>92</v>
      </c>
    </row>
    <row r="55" spans="1:2" x14ac:dyDescent="0.25">
      <c r="A55" s="14" t="s">
        <v>1566</v>
      </c>
      <c r="B55" s="2">
        <v>237</v>
      </c>
    </row>
    <row r="59" spans="1:2" x14ac:dyDescent="0.25">
      <c r="A59" s="13" t="s">
        <v>1565</v>
      </c>
      <c r="B59" t="s">
        <v>1554</v>
      </c>
    </row>
    <row r="60" spans="1:2" x14ac:dyDescent="0.25">
      <c r="A60" s="14" t="s">
        <v>67</v>
      </c>
      <c r="B60" s="2">
        <v>112</v>
      </c>
    </row>
    <row r="61" spans="1:2" x14ac:dyDescent="0.25">
      <c r="A61" s="14" t="s">
        <v>44</v>
      </c>
      <c r="B61" s="2">
        <v>51</v>
      </c>
    </row>
    <row r="62" spans="1:2" x14ac:dyDescent="0.25">
      <c r="A62" s="14" t="s">
        <v>90</v>
      </c>
      <c r="B62" s="2">
        <v>38</v>
      </c>
    </row>
    <row r="63" spans="1:2" x14ac:dyDescent="0.25">
      <c r="A63" s="14" t="s">
        <v>56</v>
      </c>
      <c r="B63" s="2">
        <v>25</v>
      </c>
    </row>
    <row r="64" spans="1:2" x14ac:dyDescent="0.25">
      <c r="A64" s="14" t="s">
        <v>73</v>
      </c>
      <c r="B64" s="2">
        <v>11</v>
      </c>
    </row>
    <row r="65" spans="1:4" x14ac:dyDescent="0.25">
      <c r="A65" s="14" t="s">
        <v>1566</v>
      </c>
      <c r="B65" s="2">
        <v>237</v>
      </c>
    </row>
    <row r="69" spans="1:4" ht="15.75" thickBot="1" x14ac:dyDescent="0.3"/>
    <row r="70" spans="1:4" ht="15.75" thickBot="1" x14ac:dyDescent="0.3">
      <c r="A70" s="13" t="s">
        <v>1565</v>
      </c>
      <c r="B70" t="s">
        <v>1568</v>
      </c>
      <c r="C70" s="25" t="s">
        <v>10</v>
      </c>
      <c r="D70" s="15" t="s">
        <v>0</v>
      </c>
    </row>
    <row r="71" spans="1:4" x14ac:dyDescent="0.25">
      <c r="A71" s="14" t="s">
        <v>77</v>
      </c>
      <c r="B71" s="2">
        <v>327</v>
      </c>
      <c r="C71" s="24" t="str">
        <f>A71</f>
        <v>Divorced</v>
      </c>
      <c r="D71" s="26">
        <f>GETPIVOTDATA("Attrition",$A$70,"Marital Status",A71)</f>
        <v>327</v>
      </c>
    </row>
    <row r="72" spans="1:4" x14ac:dyDescent="0.25">
      <c r="A72" s="14" t="s">
        <v>51</v>
      </c>
      <c r="B72" s="2">
        <v>470</v>
      </c>
      <c r="C72" s="20" t="str">
        <f t="shared" ref="C72:C73" si="2">A72</f>
        <v>Single</v>
      </c>
      <c r="D72" s="27">
        <f t="shared" ref="D72:D73" si="3">GETPIVOTDATA("Attrition",$A$70,"Marital Status",A72)</f>
        <v>470</v>
      </c>
    </row>
    <row r="73" spans="1:4" ht="15.75" thickBot="1" x14ac:dyDescent="0.3">
      <c r="A73" s="14" t="s">
        <v>62</v>
      </c>
      <c r="B73" s="2">
        <v>673</v>
      </c>
      <c r="C73" s="8" t="str">
        <f t="shared" si="2"/>
        <v>Married</v>
      </c>
      <c r="D73" s="16">
        <f t="shared" si="3"/>
        <v>673</v>
      </c>
    </row>
    <row r="74" spans="1:4" x14ac:dyDescent="0.25">
      <c r="A74" s="14" t="s">
        <v>1566</v>
      </c>
      <c r="B74" s="2">
        <v>1470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D77D-18C5-4389-92D3-EF961E517984}">
  <dimension ref="A1:AR1471"/>
  <sheetViews>
    <sheetView workbookViewId="0"/>
  </sheetViews>
  <sheetFormatPr defaultRowHeight="15" x14ac:dyDescent="0.25"/>
  <cols>
    <col min="1" max="1" width="10.5703125" customWidth="1"/>
    <col min="2" max="2" width="17.140625" customWidth="1"/>
    <col min="3" max="3" width="14.42578125" customWidth="1"/>
    <col min="4" max="4" width="18.5703125" customWidth="1"/>
    <col min="5" max="5" width="14" customWidth="1"/>
    <col min="6" max="6" width="17" customWidth="1"/>
    <col min="7" max="7" width="9.85546875" customWidth="1"/>
    <col min="8" max="8" width="19.85546875" customWidth="1"/>
    <col min="9" max="9" width="9.85546875" customWidth="1"/>
    <col min="10" max="10" width="10.7109375" customWidth="1"/>
    <col min="11" max="11" width="15.42578125" customWidth="1"/>
    <col min="12" max="12" width="12.28515625" customWidth="1"/>
    <col min="13" max="13" width="9.42578125" customWidth="1"/>
    <col min="14" max="14" width="24.7109375" customWidth="1"/>
    <col min="18" max="18" width="19.28515625" customWidth="1"/>
    <col min="19" max="19" width="20.28515625" customWidth="1"/>
    <col min="20" max="20" width="17.7109375" customWidth="1"/>
    <col min="21" max="21" width="22.42578125" customWidth="1"/>
    <col min="22" max="22" width="12.28515625" customWidth="1"/>
    <col min="23" max="23" width="22" customWidth="1"/>
    <col min="24" max="24" width="12.140625" customWidth="1"/>
    <col min="25" max="25" width="18.140625" customWidth="1"/>
    <col min="26" max="26" width="25.85546875" customWidth="1"/>
    <col min="27" max="27" width="13.7109375" customWidth="1"/>
    <col min="28" max="28" width="17.85546875" customWidth="1"/>
    <col min="29" max="29" width="11.42578125" customWidth="1"/>
    <col min="30" max="30" width="17.28515625" customWidth="1"/>
    <col min="31" max="31" width="17.5703125" customWidth="1"/>
    <col min="32" max="32" width="15" customWidth="1"/>
    <col min="33" max="33" width="25.5703125" customWidth="1"/>
    <col min="34" max="34" width="20.5703125" customWidth="1"/>
    <col min="35" max="35" width="20.85546875" customWidth="1"/>
    <col min="36" max="36" width="25.7109375" customWidth="1"/>
    <col min="37" max="37" width="17" customWidth="1"/>
    <col min="38" max="38" width="20" customWidth="1"/>
    <col min="39" max="39" width="20.85546875" customWidth="1"/>
    <col min="40" max="40" width="19.140625" customWidth="1"/>
    <col min="41" max="41" width="19.42578125" customWidth="1"/>
    <col min="42" max="42" width="22.28515625" customWidth="1"/>
    <col min="43" max="43" width="27.5703125" customWidth="1"/>
    <col min="44" max="44" width="25.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25">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Dhivakar 1897</dc:creator>
  <cp:lastModifiedBy>Dhivakar R</cp:lastModifiedBy>
  <dcterms:created xsi:type="dcterms:W3CDTF">2026-01-29T05:12:25Z</dcterms:created>
  <dcterms:modified xsi:type="dcterms:W3CDTF">2026-02-19T02:30:40Z</dcterms:modified>
</cp:coreProperties>
</file>